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E25F651-90D0-440E-AD16-A9BDCB7D179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shboard" sheetId="1" r:id="rId1"/>
    <sheet name="Call Tracker" sheetId="2" r:id="rId2"/>
  </sheets>
  <definedNames>
    <definedName name="_xlnm._FilterDatabase" localSheetId="1" hidden="1">'Call Tracker'!$A$2:$S$55</definedName>
    <definedName name="_xlnm.Print_Titles" localSheetId="1">'Call Tracker'!$2:$2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5" i="2" l="1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D29" i="1"/>
  <c r="C29" i="1"/>
  <c r="K28" i="1"/>
  <c r="J28" i="1"/>
  <c r="I28" i="1"/>
  <c r="H28" i="1"/>
  <c r="D28" i="1"/>
  <c r="C28" i="1"/>
  <c r="K27" i="1"/>
  <c r="J27" i="1"/>
  <c r="I27" i="1"/>
  <c r="H27" i="1"/>
  <c r="D27" i="1"/>
  <c r="C27" i="1"/>
  <c r="K26" i="1"/>
  <c r="J26" i="1"/>
  <c r="I26" i="1"/>
  <c r="H26" i="1"/>
  <c r="D26" i="1"/>
  <c r="C26" i="1"/>
  <c r="K25" i="1"/>
  <c r="J25" i="1"/>
  <c r="I25" i="1"/>
  <c r="H25" i="1"/>
  <c r="D25" i="1"/>
  <c r="C25" i="1"/>
  <c r="K24" i="1"/>
  <c r="J24" i="1"/>
  <c r="I24" i="1"/>
  <c r="H24" i="1"/>
  <c r="D24" i="1"/>
  <c r="C24" i="1"/>
  <c r="D19" i="1"/>
  <c r="F19" i="1" s="1"/>
  <c r="F16" i="1"/>
  <c r="B16" i="1"/>
  <c r="J12" i="1"/>
  <c r="F12" i="1"/>
  <c r="B12" i="1"/>
  <c r="D8" i="1"/>
  <c r="E29" i="1" l="1"/>
  <c r="J16" i="1"/>
  <c r="E26" i="1"/>
  <c r="E27" i="1"/>
  <c r="E28" i="1"/>
  <c r="E24" i="1"/>
  <c r="E25" i="1"/>
  <c r="K26" i="2"/>
  <c r="K5" i="2"/>
  <c r="K49" i="2"/>
  <c r="K48" i="2"/>
  <c r="K47" i="2"/>
  <c r="K46" i="2"/>
  <c r="K45" i="2"/>
  <c r="K44" i="2"/>
  <c r="K37" i="2"/>
  <c r="K29" i="2"/>
  <c r="K28" i="2"/>
  <c r="K27" i="2"/>
  <c r="K23" i="2"/>
  <c r="K22" i="2"/>
  <c r="K21" i="2"/>
  <c r="K20" i="2"/>
  <c r="K19" i="2"/>
  <c r="K18" i="2"/>
  <c r="K3" i="2"/>
  <c r="K43" i="2"/>
  <c r="K42" i="2"/>
  <c r="K41" i="2"/>
  <c r="K40" i="2"/>
  <c r="K39" i="2"/>
  <c r="K38" i="2"/>
  <c r="K7" i="2"/>
  <c r="K4" i="2"/>
  <c r="K55" i="2"/>
  <c r="K54" i="2"/>
  <c r="K36" i="2"/>
  <c r="K35" i="2"/>
  <c r="K34" i="2"/>
  <c r="K33" i="2"/>
  <c r="K32" i="2"/>
  <c r="K31" i="2"/>
  <c r="K25" i="2"/>
  <c r="K24" i="2"/>
  <c r="K53" i="2"/>
  <c r="K52" i="2"/>
  <c r="K16" i="2"/>
  <c r="K15" i="2"/>
  <c r="K14" i="2"/>
  <c r="K13" i="2"/>
  <c r="K12" i="2"/>
  <c r="K11" i="2"/>
  <c r="K17" i="2"/>
  <c r="K9" i="2"/>
  <c r="K8" i="2"/>
  <c r="K6" i="2"/>
  <c r="K51" i="2"/>
  <c r="K50" i="2"/>
  <c r="K30" i="2"/>
  <c r="K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Assistant</author>
  </authors>
  <commentList>
    <comment ref="D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Company-confirmed rate: ₹5 per km. Change this single cell if the rate is ever revised — all conveyance costs on the Call Tracker sheet recalculate from it.</t>
        </r>
      </text>
    </comment>
  </commentList>
</comments>
</file>

<file path=xl/sharedStrings.xml><?xml version="1.0" encoding="utf-8"?>
<sst xmlns="http://schemas.openxmlformats.org/spreadsheetml/2006/main" count="498" uniqueCount="252">
  <si>
    <t>Nagapattinam Field Calls — Live Tracker</t>
  </si>
  <si>
    <t>Update the 'Call Tracker' sheet as you close each call. Every number on this page recalculates automatically.</t>
  </si>
  <si>
    <t>SETTINGS  (edit the yellow cells)</t>
  </si>
  <si>
    <t>Base location (pincode)</t>
  </si>
  <si>
    <t>Conveyance rate (₹ per km)</t>
  </si>
  <si>
    <t>Report date</t>
  </si>
  <si>
    <t>OVERVIEW</t>
  </si>
  <si>
    <t>TOTAL CALLS</t>
  </si>
  <si>
    <t>COMPLETED</t>
  </si>
  <si>
    <t>INCOMPLETE</t>
  </si>
  <si>
    <t>NOT STARTED</t>
  </si>
  <si>
    <t>DISTANCE (KM)</t>
  </si>
  <si>
    <t>CONVEYANCE (₹)</t>
  </si>
  <si>
    <t>Overall completion</t>
  </si>
  <si>
    <t>BLOCK BREAKDOWN</t>
  </si>
  <si>
    <t>CATEGORY BREAKDOWN</t>
  </si>
  <si>
    <t>Block</t>
  </si>
  <si>
    <t>Total</t>
  </si>
  <si>
    <t>Completed</t>
  </si>
  <si>
    <t>% Done</t>
  </si>
  <si>
    <t>Category</t>
  </si>
  <si>
    <t>Incomplete</t>
  </si>
  <si>
    <t>Not Started</t>
  </si>
  <si>
    <t>Keezhaiyur</t>
  </si>
  <si>
    <t>GOOGLE FORM - AI</t>
  </si>
  <si>
    <t>Nagapattinam</t>
  </si>
  <si>
    <t>TICKETING TOOL TICKET</t>
  </si>
  <si>
    <t>Kelvelur</t>
  </si>
  <si>
    <t>HELPLINE TICKET</t>
  </si>
  <si>
    <t>Thirumarugal</t>
  </si>
  <si>
    <t>KS SMART</t>
  </si>
  <si>
    <t>Thalainayar</t>
  </si>
  <si>
    <t>Ticketing Tool</t>
  </si>
  <si>
    <t>Vedaranyam</t>
  </si>
  <si>
    <t>Nagapattinam Field Calls — Closure Tracker (53 calls, oldest first)</t>
  </si>
  <si>
    <t>#</t>
  </si>
  <si>
    <t>UDISE</t>
  </si>
  <si>
    <t>School Name</t>
  </si>
  <si>
    <t>Issue / Description</t>
  </si>
  <si>
    <t>Contact No.</t>
  </si>
  <si>
    <t>611001 Zone</t>
  </si>
  <si>
    <t>Ticket Raised On</t>
  </si>
  <si>
    <t>Age (Days)</t>
  </si>
  <si>
    <t>Status</t>
  </si>
  <si>
    <t>Distance from Base (km)</t>
  </si>
  <si>
    <t>Conveyance Cost (₹)</t>
  </si>
  <si>
    <t>Date Closed</t>
  </si>
  <si>
    <t>If Incomplete — Reason</t>
  </si>
  <si>
    <t>If Completed — Action Taken</t>
  </si>
  <si>
    <t>Materials / Spares Used</t>
  </si>
  <si>
    <t>Visited By</t>
  </si>
  <si>
    <t>33190400501</t>
  </si>
  <si>
    <t>PUMS VILUNTHAMAVADI WEST</t>
  </si>
  <si>
    <t>SYSTEM 5,8 N/W NOT CONNECTED</t>
  </si>
  <si>
    <t>6384147212</t>
  </si>
  <si>
    <t>NO</t>
  </si>
  <si>
    <t>33190102201</t>
  </si>
  <si>
    <t>PUMS THERKKU POIGAINALLUR</t>
  </si>
  <si>
    <t>I/O BOX DAMAGED</t>
  </si>
  <si>
    <t>6382800142</t>
  </si>
  <si>
    <t>YES</t>
  </si>
  <si>
    <t>33190300901</t>
  </si>
  <si>
    <t>PUMS KURUMANANGUDI</t>
  </si>
  <si>
    <t>IO BOX PROBLEM</t>
  </si>
  <si>
    <t>8608350855</t>
  </si>
  <si>
    <t>33190301001</t>
  </si>
  <si>
    <t>PUMS ATHIPULIYUR</t>
  </si>
  <si>
    <t>IO box problem</t>
  </si>
  <si>
    <t>8838168341</t>
  </si>
  <si>
    <t>33190202401</t>
  </si>
  <si>
    <t>PUMS ATHALAIYUR</t>
  </si>
  <si>
    <t>D-Link to system lan cable not connected</t>
  </si>
  <si>
    <t>8438031294</t>
  </si>
  <si>
    <t>33190503301</t>
  </si>
  <si>
    <t>GHSS VELLAPALLAM</t>
  </si>
  <si>
    <t>UNABLE TO CONNECT INTERNET</t>
  </si>
  <si>
    <t>8668144131</t>
  </si>
  <si>
    <t>33190301901</t>
  </si>
  <si>
    <t>PUMS VADAKKALATHUR</t>
  </si>
  <si>
    <t>1 SYSTEM I/O PORT ISSUE</t>
  </si>
  <si>
    <t>9094788383</t>
  </si>
  <si>
    <t>33190500801</t>
  </si>
  <si>
    <t>PUMS MARACHERY</t>
  </si>
  <si>
    <t>6TH SYSTEM I/O BOX NOT WORKING</t>
  </si>
  <si>
    <t>9751931094</t>
  </si>
  <si>
    <t>33190303103</t>
  </si>
  <si>
    <t>PUMS KERALANTHAN</t>
  </si>
  <si>
    <t>Cpu and monitor current not supply</t>
  </si>
  <si>
    <t>9047151969</t>
  </si>
  <si>
    <t>33190601004</t>
  </si>
  <si>
    <t>PUMS THIRD STREET, VEDARANIYAM</t>
  </si>
  <si>
    <t>Cpu to I/O port not working</t>
  </si>
  <si>
    <t>8681931009</t>
  </si>
  <si>
    <t>33190602401</t>
  </si>
  <si>
    <t>PUMS,VOIMEDU WEST</t>
  </si>
  <si>
    <t>CPU to input output internet port not working</t>
  </si>
  <si>
    <t>9344592821</t>
  </si>
  <si>
    <t>33190602104</t>
  </si>
  <si>
    <t>PUMS THANIKOTTAGAM SOUTH</t>
  </si>
  <si>
    <t>CPU Input output internet port not working</t>
  </si>
  <si>
    <t>7639092040</t>
  </si>
  <si>
    <t>33190301601</t>
  </si>
  <si>
    <t>PUMS KUTHUR</t>
  </si>
  <si>
    <t>One system has no internet connection</t>
  </si>
  <si>
    <t>9585513713</t>
  </si>
  <si>
    <t>33190202701</t>
  </si>
  <si>
    <t>PUMS-THIRUCHENKATTANGUDI</t>
  </si>
  <si>
    <t>HDMI CABLE DEMAGED</t>
  </si>
  <si>
    <t>9790073694</t>
  </si>
  <si>
    <t>33190202301</t>
  </si>
  <si>
    <t>PUMS-VADAKARAI</t>
  </si>
  <si>
    <t>D-Link not connected</t>
  </si>
  <si>
    <t>33190500701</t>
  </si>
  <si>
    <t>PUMS THIRUVIDAIMARUTHUR</t>
  </si>
  <si>
    <t>UPS IO BOX</t>
  </si>
  <si>
    <t>9095286120</t>
  </si>
  <si>
    <t>33190203901</t>
  </si>
  <si>
    <t>PUMS-KANGALANCHERY</t>
  </si>
  <si>
    <t>WEB CAMERA NOT RECEIVED</t>
  </si>
  <si>
    <t>7708898206</t>
  </si>
  <si>
    <t>33190200902</t>
  </si>
  <si>
    <t>PUPS-GOTHANDARAJAPURAM</t>
  </si>
  <si>
    <t xml:space="preserve">Lan cable one missing </t>
  </si>
  <si>
    <t>-</t>
  </si>
  <si>
    <t>33190200102</t>
  </si>
  <si>
    <t>PUPS-GANAPATHIPURAM</t>
  </si>
  <si>
    <t>UPS LAN cable not received and  Internet connection not available</t>
  </si>
  <si>
    <t>33190102601</t>
  </si>
  <si>
    <t>PUPS ALANGUDI</t>
  </si>
  <si>
    <t xml:space="preserve">Incomplete installation </t>
  </si>
  <si>
    <t>33190102303</t>
  </si>
  <si>
    <t>GHS,VADAVOOR</t>
  </si>
  <si>
    <t>33190101801</t>
  </si>
  <si>
    <t>PUPS PUDUCHERY</t>
  </si>
  <si>
    <t>33190203602</t>
  </si>
  <si>
    <t>PUPS - VICHUR</t>
  </si>
  <si>
    <t>UPS LAN cable not received</t>
  </si>
  <si>
    <t>33190400901</t>
  </si>
  <si>
    <t>PUMS THATHANTHIRUVASAL</t>
  </si>
  <si>
    <t>TWO SYSTEM TABLE NOT ASSEMBLED(SCREW NOT AVAILABLE)</t>
  </si>
  <si>
    <t>7904144337</t>
  </si>
  <si>
    <t>33190401005</t>
  </si>
  <si>
    <t>PUPS SALLIKULAM</t>
  </si>
  <si>
    <t>NO POWER CONNECTION IN 9U RACK,UPS NOT WORKING,ELECTRICAL WORK WAS INCOMPLETED.</t>
  </si>
  <si>
    <t>33190401301</t>
  </si>
  <si>
    <t>GHSS PALAKKURICHI</t>
  </si>
  <si>
    <t>Ups not received.</t>
  </si>
  <si>
    <t>33190101502</t>
  </si>
  <si>
    <t>PUPS PERIYANARIYANGUDI</t>
  </si>
  <si>
    <t>33190501302</t>
  </si>
  <si>
    <t>PUPS AYYOR</t>
  </si>
  <si>
    <t xml:space="preserve">Ups is power back issue, because of down our smart class room. </t>
  </si>
  <si>
    <t>33190503304</t>
  </si>
  <si>
    <t>PUPS VANAVANMAHADEVI WEST</t>
  </si>
  <si>
    <t xml:space="preserve">IO box (D-Link) patch cord not Attached </t>
  </si>
  <si>
    <t>33190503403</t>
  </si>
  <si>
    <t>PUPS ULAGANATHANKADU</t>
  </si>
  <si>
    <t>33190304301</t>
  </si>
  <si>
    <t>PUPS THERKUPANAIYUR</t>
  </si>
  <si>
    <t xml:space="preserve">9rack powercable not received. Internet not available in the school </t>
  </si>
  <si>
    <t>33190101405</t>
  </si>
  <si>
    <t>PUPS AKKARAIPETTAI</t>
  </si>
  <si>
    <t>Web camere and computer to smartboard connected wire not receive in this school</t>
  </si>
  <si>
    <t>33190103151</t>
  </si>
  <si>
    <t>MMS KALLUKARA STREET.</t>
  </si>
  <si>
    <t xml:space="preserve">3 systems switch board fault </t>
  </si>
  <si>
    <t>8110882870</t>
  </si>
  <si>
    <t>33190604302</t>
  </si>
  <si>
    <t>PUMS SEMBAGARAYANALLUR NORTH</t>
  </si>
  <si>
    <t xml:space="preserve">LAN CONNECTION ISSUE FOR ONLY ONE SYSTEM. SO INTERNET IS NOT AVAILABLE FOR ONLY ONE SYSTEM. </t>
  </si>
  <si>
    <t>8668035417</t>
  </si>
  <si>
    <t>33190603802</t>
  </si>
  <si>
    <t>PUMS,MOOLAKKARAI</t>
  </si>
  <si>
    <t>Projector mountkit not received projector installation pending also invertor not connected to computer system</t>
  </si>
  <si>
    <t>8012425260</t>
  </si>
  <si>
    <t>33190603001</t>
  </si>
  <si>
    <t>PUMS, AYAKKARANPULAM 2</t>
  </si>
  <si>
    <t xml:space="preserve">1.10 head phone splitters not received 2.1 internet port problem 3.1 lancable damaged on delivery </t>
  </si>
  <si>
    <t>7530010794</t>
  </si>
  <si>
    <t>33190602101</t>
  </si>
  <si>
    <t>PUMS, VELLIKIDANKU</t>
  </si>
  <si>
    <t xml:space="preserve">Two CPU not working and projector remote not received </t>
  </si>
  <si>
    <t>9715848280</t>
  </si>
  <si>
    <t>33190601202</t>
  </si>
  <si>
    <t>PUMS,THOPPUTHURAI(MUSILIM)</t>
  </si>
  <si>
    <t xml:space="preserve">Need lan cable oneProjector screen damaged One head phone </t>
  </si>
  <si>
    <t>9443313856</t>
  </si>
  <si>
    <t>33190602901</t>
  </si>
  <si>
    <t>PUPS PANCHANATHIKULAM EAST SECOND WARD</t>
  </si>
  <si>
    <t xml:space="preserve">1 internet port problem </t>
  </si>
  <si>
    <t>33190302601</t>
  </si>
  <si>
    <t>PUMS VANDALUR</t>
  </si>
  <si>
    <t>Two computers do not have internet.</t>
  </si>
  <si>
    <t>33190602601</t>
  </si>
  <si>
    <t>PUPS, PANCHANATHIKULAM WEST</t>
  </si>
  <si>
    <t>Electric circuit issue.</t>
  </si>
  <si>
    <t>33190103005</t>
  </si>
  <si>
    <t>MMS MIYAH STREET NAGORE</t>
  </si>
  <si>
    <t xml:space="preserve">Switch board broken, projector not installed </t>
  </si>
  <si>
    <t>8870938129</t>
  </si>
  <si>
    <t>33190101901</t>
  </si>
  <si>
    <t>PUMS VERGUDI</t>
  </si>
  <si>
    <t>9524496297</t>
  </si>
  <si>
    <t>33190101404</t>
  </si>
  <si>
    <t>PUMS KEECHANKUPPAM</t>
  </si>
  <si>
    <t>Ups problem and projector screen not closing issue</t>
  </si>
  <si>
    <t>9786718976</t>
  </si>
  <si>
    <t>33190100502</t>
  </si>
  <si>
    <t>PUPS PALAKKADU</t>
  </si>
  <si>
    <t>Computer not connecting internet in this school.</t>
  </si>
  <si>
    <t>33190602703</t>
  </si>
  <si>
    <t>GHS MARUTHUR SOUTH</t>
  </si>
  <si>
    <t xml:space="preserve">1 IO Box not working </t>
  </si>
  <si>
    <t>33190102401</t>
  </si>
  <si>
    <t>PUMS KURICHI</t>
  </si>
  <si>
    <t>LAN cable not working</t>
  </si>
  <si>
    <t>9524431974</t>
  </si>
  <si>
    <t>33190502401</t>
  </si>
  <si>
    <t>PUMS PRINJUMOOLAI</t>
  </si>
  <si>
    <t>network problem</t>
  </si>
  <si>
    <t>9344439540</t>
  </si>
  <si>
    <t>33190203302</t>
  </si>
  <si>
    <t>PUMS PORAKUDI</t>
  </si>
  <si>
    <t>CPU I/O Point</t>
  </si>
  <si>
    <t>9597649440</t>
  </si>
  <si>
    <t>33190103139</t>
  </si>
  <si>
    <t>MPS KOTTAIMEDU STREET</t>
  </si>
  <si>
    <t>1.MERAKI ROUTER 2.D-LINK 8PORT SWITCH 3.IP CAMERA 4.WEBCAMERA NOT DELIVERED</t>
  </si>
  <si>
    <t>33190204101</t>
  </si>
  <si>
    <t>PUPS - VIRKUDI</t>
  </si>
  <si>
    <t>power supply issue</t>
  </si>
  <si>
    <t>33190204001</t>
  </si>
  <si>
    <t>PUPS - VAZKUDI</t>
  </si>
  <si>
    <t>DUE TO THE IP CAMERA BEING POSITIONED DOWNWARD,THE CLASSROOM IS NOT VISIBLE.ONLY THE FLOOR TILES CAN BESEEN.</t>
  </si>
  <si>
    <t>33190203801</t>
  </si>
  <si>
    <t>PUPS RARANTHIMANGALAM</t>
  </si>
  <si>
    <t>Legend:</t>
  </si>
  <si>
    <t>Columns are grouped by workflow: identify the call (A-J) → decide &amp; log (Status, Distance, Conveyance, Date Closed) → notes (Reason / Action Taken / Materials / Visited By) at the end.</t>
  </si>
  <si>
    <t>Yellow cell = your daily input (Distance). Blue text = free-text fields you fill in.</t>
  </si>
  <si>
    <t>Conveyance Cost auto-calculates as Distance × ₹5/km, but only once that row's Status is set to "Completed".</t>
  </si>
  <si>
    <t>Distances are measured from base pincode 609703 — enter each school's one-way road distance in km.</t>
  </si>
  <si>
    <t>Use the filter arrows on the header row to view calls by Block, Category or Status.</t>
  </si>
  <si>
    <t>Row height is fixed so long notes in Reason/Action/Materials wrap within the cell instead of stretching the row — widen a column if you need more room.</t>
  </si>
  <si>
    <t>Cable grimped again at switch end</t>
  </si>
  <si>
    <t>Rj45 Jack</t>
  </si>
  <si>
    <t>Shameer</t>
  </si>
  <si>
    <t>Ranjitha</t>
  </si>
  <si>
    <t>Ai Name</t>
  </si>
  <si>
    <t>Parimala Devi</t>
  </si>
  <si>
    <t>Shanthini</t>
  </si>
  <si>
    <t>Semmalar</t>
  </si>
  <si>
    <t>[[[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</si>
</sst>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₹#,##0"/>
    <numFmt numFmtId="166" formatCode="\₹#,##0;\(\₹#,##0\);&quot;-&quot;"/>
  </numFmts>
  <fonts count="15" x14ac:knownFonts="1">
    <font>
      <sz val="11"/>
      <color theme="1"/>
      <name val="Calibri"/>
      <family val="2"/>
      <scheme val="minor"/>
    </font>
    <font>
      <b/>
      <sz val="18"/>
      <color rgb="FF0B2545"/>
      <name val="Arial"/>
    </font>
    <font>
      <i/>
      <sz val="10"/>
      <color rgb="FF475569"/>
      <name val="Arial"/>
    </font>
    <font>
      <b/>
      <sz val="10"/>
      <color rgb="FFFFFFFF"/>
      <name val="Arial"/>
    </font>
    <font>
      <sz val="9"/>
      <name val="Arial"/>
    </font>
    <font>
      <b/>
      <sz val="11"/>
      <color rgb="FF1D4ED8"/>
      <name val="Arial"/>
    </font>
    <font>
      <b/>
      <sz val="11"/>
      <name val="Arial"/>
    </font>
    <font>
      <b/>
      <sz val="9"/>
      <color rgb="FFFFFFFF"/>
      <name val="Arial"/>
    </font>
    <font>
      <b/>
      <sz val="26"/>
      <color rgb="FFFFFFFF"/>
      <name val="Arial"/>
    </font>
    <font>
      <b/>
      <sz val="11"/>
      <color rgb="FF2E7D32"/>
      <name val="Arial"/>
    </font>
    <font>
      <b/>
      <sz val="11"/>
      <color rgb="FF2E7D32"/>
      <name val="Consolas"/>
    </font>
    <font>
      <b/>
      <sz val="9"/>
      <color rgb="FF2E7D32"/>
      <name val="Arial"/>
    </font>
    <font>
      <b/>
      <sz val="9"/>
      <color rgb="FFB3261E"/>
      <name val="Arial"/>
    </font>
    <font>
      <b/>
      <sz val="10"/>
      <color rgb="FF1D4ED8"/>
      <name val="Arial"/>
    </font>
    <font>
      <sz val="9"/>
      <color rgb="FF1D4ED8"/>
      <name val="Arial"/>
    </font>
  </fonts>
  <fills count="13">
    <fill>
      <patternFill patternType="none"/>
    </fill>
    <fill>
      <patternFill patternType="gray125"/>
    </fill>
    <fill>
      <patternFill patternType="solid">
        <fgColor rgb="FF0F7173"/>
      </patternFill>
    </fill>
    <fill>
      <patternFill patternType="solid">
        <fgColor rgb="FFFFF7B2"/>
      </patternFill>
    </fill>
    <fill>
      <patternFill patternType="solid">
        <fgColor rgb="FF0B2545"/>
      </patternFill>
    </fill>
    <fill>
      <patternFill patternType="solid">
        <fgColor rgb="FF2E7D32"/>
      </patternFill>
    </fill>
    <fill>
      <patternFill patternType="solid">
        <fgColor rgb="FFB3261E"/>
      </patternFill>
    </fill>
    <fill>
      <patternFill patternType="solid">
        <fgColor rgb="FF64748B"/>
      </patternFill>
    </fill>
    <fill>
      <patternFill patternType="solid">
        <fgColor rgb="FFB45309"/>
      </patternFill>
    </fill>
    <fill>
      <patternFill patternType="solid">
        <fgColor rgb="FF13315C"/>
      </patternFill>
    </fill>
    <fill>
      <patternFill patternType="solid">
        <fgColor rgb="FFF2F4F7"/>
      </patternFill>
    </fill>
    <fill>
      <patternFill patternType="solid">
        <fgColor rgb="FFFFFDE7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F7173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3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9" fontId="4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9" fontId="4" fillId="10" borderId="2" xfId="0" applyNumberFormat="1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164" fontId="4" fillId="0" borderId="2" xfId="0" applyNumberFormat="1" applyFont="1" applyBorder="1" applyAlignment="1">
      <alignment vertical="center" wrapText="1"/>
    </xf>
    <xf numFmtId="0" fontId="13" fillId="11" borderId="2" xfId="0" applyFont="1" applyFill="1" applyBorder="1" applyAlignment="1">
      <alignment horizontal="center" vertical="center" wrapText="1"/>
    </xf>
    <xf numFmtId="166" fontId="4" fillId="0" borderId="2" xfId="0" applyNumberFormat="1" applyFont="1" applyBorder="1" applyAlignment="1">
      <alignment horizontal="center" vertical="center" wrapText="1"/>
    </xf>
    <xf numFmtId="164" fontId="14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top" wrapText="1"/>
    </xf>
    <xf numFmtId="0" fontId="4" fillId="10" borderId="2" xfId="0" applyFont="1" applyFill="1" applyBorder="1" applyAlignment="1">
      <alignment vertical="center" wrapText="1"/>
    </xf>
    <xf numFmtId="164" fontId="4" fillId="10" borderId="2" xfId="0" applyNumberFormat="1" applyFont="1" applyFill="1" applyBorder="1" applyAlignment="1">
      <alignment vertical="center" wrapText="1"/>
    </xf>
    <xf numFmtId="166" fontId="4" fillId="10" borderId="2" xfId="0" applyNumberFormat="1" applyFont="1" applyFill="1" applyBorder="1" applyAlignment="1">
      <alignment horizontal="center" vertical="center" wrapText="1"/>
    </xf>
    <xf numFmtId="164" fontId="14" fillId="10" borderId="2" xfId="0" applyNumberFormat="1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left" vertical="top" wrapText="1"/>
    </xf>
    <xf numFmtId="0" fontId="14" fillId="10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3" fillId="9" borderId="0" xfId="0" applyFont="1" applyFill="1"/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  <xf numFmtId="0" fontId="0" fillId="0" borderId="1" xfId="0" applyBorder="1"/>
    <xf numFmtId="0" fontId="7" fillId="6" borderId="4" xfId="0" applyFont="1" applyFill="1" applyBorder="1" applyAlignment="1">
      <alignment horizontal="center" vertical="center"/>
    </xf>
    <xf numFmtId="0" fontId="0" fillId="0" borderId="4" xfId="0" applyBorder="1"/>
    <xf numFmtId="0" fontId="8" fillId="7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8" fillId="2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4" fillId="0" borderId="2" xfId="0" applyFont="1" applyBorder="1"/>
    <xf numFmtId="0" fontId="3" fillId="9" borderId="0" xfId="0" applyFont="1" applyFill="1" applyAlignment="1">
      <alignment horizontal="left" vertical="center" indent="1"/>
    </xf>
    <xf numFmtId="0" fontId="7" fillId="5" borderId="4" xfId="0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65" fontId="8" fillId="8" borderId="4" xfId="0" applyNumberFormat="1" applyFont="1" applyFill="1" applyBorder="1" applyAlignment="1">
      <alignment horizontal="center" vertical="center"/>
    </xf>
    <xf numFmtId="0" fontId="2" fillId="0" borderId="0" xfId="0" applyFont="1"/>
    <xf numFmtId="0" fontId="7" fillId="2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vertical="center" wrapText="1"/>
    </xf>
    <xf numFmtId="164" fontId="4" fillId="12" borderId="2" xfId="0" applyNumberFormat="1" applyFont="1" applyFill="1" applyBorder="1" applyAlignment="1">
      <alignment vertical="center" wrapText="1"/>
    </xf>
    <xf numFmtId="0" fontId="13" fillId="12" borderId="2" xfId="0" applyFont="1" applyFill="1" applyBorder="1" applyAlignment="1">
      <alignment horizontal="center" vertical="center" wrapText="1"/>
    </xf>
    <xf numFmtId="166" fontId="4" fillId="12" borderId="2" xfId="0" applyNumberFormat="1" applyFont="1" applyFill="1" applyBorder="1" applyAlignment="1">
      <alignment horizontal="center" vertical="center" wrapText="1"/>
    </xf>
    <xf numFmtId="164" fontId="14" fillId="12" borderId="2" xfId="0" applyNumberFormat="1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left" vertical="top" wrapText="1"/>
    </xf>
    <xf numFmtId="0" fontId="14" fillId="12" borderId="2" xfId="0" applyFont="1" applyFill="1" applyBorder="1" applyAlignment="1">
      <alignment horizontal="center" vertical="center" wrapText="1"/>
    </xf>
    <xf numFmtId="0" fontId="14" fillId="12" borderId="0" xfId="0" applyFont="1" applyFill="1" applyAlignment="1">
      <alignment horizontal="center" vertical="center" wrapText="1"/>
    </xf>
    <xf numFmtId="0" fontId="0" fillId="12" borderId="0" xfId="0" applyFill="1"/>
  </cellXfs>
  <cellStyles count="1">
    <cellStyle name="Normal" xfId="0" builtinId="0"/>
  </cellStyles>
  <dxfs count="7">
    <dxf>
      <fill>
        <patternFill patternType="solid">
          <fgColor rgb="FFE2E8F0"/>
        </patternFill>
      </fill>
    </dxf>
    <dxf>
      <font>
        <b/>
        <sz val="9"/>
        <color rgb="FF9C0006"/>
        <name val="Arial"/>
      </font>
      <fill>
        <patternFill patternType="solid">
          <fgColor rgb="FFFFC7CE"/>
        </patternFill>
      </fill>
    </dxf>
    <dxf>
      <font>
        <b/>
        <sz val="9"/>
        <color rgb="FF1B5E20"/>
        <name val="Arial"/>
      </font>
      <fill>
        <patternFill patternType="solid">
          <fgColor rgb="FFC6EFCE"/>
        </patternFill>
      </fill>
    </dxf>
    <dxf>
      <font>
        <b/>
        <sz val="9"/>
        <color rgb="FFB45309"/>
        <name val="Arial"/>
      </font>
    </dxf>
    <dxf>
      <font>
        <b/>
        <sz val="9"/>
        <color rgb="FFB3261E"/>
        <name val="Arial"/>
      </font>
    </dxf>
    <dxf>
      <fill>
        <patternFill patternType="solid">
          <fgColor rgb="FFFDECEC"/>
        </patternFill>
      </fill>
    </dxf>
    <dxf>
      <fill>
        <patternFill patternType="solid">
          <fgColor rgb="FFEAF7E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Category — Completed / Incomplete / Not Started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Dashboard!$I$23</c:f>
              <c:strCache>
                <c:ptCount val="1"/>
                <c:pt idx="0">
                  <c:v>Completed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Dashboard!$G$24:$G$28</c:f>
              <c:strCache>
                <c:ptCount val="5"/>
                <c:pt idx="0">
                  <c:v>GOOGLE FORM - AI</c:v>
                </c:pt>
                <c:pt idx="1">
                  <c:v>TICKETING TOOL TICKET</c:v>
                </c:pt>
                <c:pt idx="2">
                  <c:v>HELPLINE TICKET</c:v>
                </c:pt>
                <c:pt idx="3">
                  <c:v>KS SMART</c:v>
                </c:pt>
                <c:pt idx="4">
                  <c:v>Ticketing Tool</c:v>
                </c:pt>
              </c:strCache>
            </c:strRef>
          </c:cat>
          <c:val>
            <c:numRef>
              <c:f>Dashboard!$I$24:$I$28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1-46E0-8B86-D73F1DD43478}"/>
            </c:ext>
          </c:extLst>
        </c:ser>
        <c:ser>
          <c:idx val="1"/>
          <c:order val="1"/>
          <c:tx>
            <c:strRef>
              <c:f>Dashboard!$J$23</c:f>
              <c:strCache>
                <c:ptCount val="1"/>
                <c:pt idx="0">
                  <c:v>Incomplete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Dashboard!$G$24:$G$28</c:f>
              <c:strCache>
                <c:ptCount val="5"/>
                <c:pt idx="0">
                  <c:v>GOOGLE FORM - AI</c:v>
                </c:pt>
                <c:pt idx="1">
                  <c:v>TICKETING TOOL TICKET</c:v>
                </c:pt>
                <c:pt idx="2">
                  <c:v>HELPLINE TICKET</c:v>
                </c:pt>
                <c:pt idx="3">
                  <c:v>KS SMART</c:v>
                </c:pt>
                <c:pt idx="4">
                  <c:v>Ticketing Tool</c:v>
                </c:pt>
              </c:strCache>
            </c:strRef>
          </c:cat>
          <c:val>
            <c:numRef>
              <c:f>Dashboard!$J$24:$J$28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11-46E0-8B86-D73F1DD43478}"/>
            </c:ext>
          </c:extLst>
        </c:ser>
        <c:ser>
          <c:idx val="2"/>
          <c:order val="2"/>
          <c:tx>
            <c:strRef>
              <c:f>Dashboard!$K$23</c:f>
              <c:strCache>
                <c:ptCount val="1"/>
                <c:pt idx="0">
                  <c:v>Not Started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Dashboard!$G$24:$G$28</c:f>
              <c:strCache>
                <c:ptCount val="5"/>
                <c:pt idx="0">
                  <c:v>GOOGLE FORM - AI</c:v>
                </c:pt>
                <c:pt idx="1">
                  <c:v>TICKETING TOOL TICKET</c:v>
                </c:pt>
                <c:pt idx="2">
                  <c:v>HELPLINE TICKET</c:v>
                </c:pt>
                <c:pt idx="3">
                  <c:v>KS SMART</c:v>
                </c:pt>
                <c:pt idx="4">
                  <c:v>Ticketing Tool</c:v>
                </c:pt>
              </c:strCache>
            </c:strRef>
          </c:cat>
          <c:val>
            <c:numRef>
              <c:f>Dashboard!$K$24:$K$28</c:f>
              <c:numCache>
                <c:formatCode>General</c:formatCode>
                <c:ptCount val="5"/>
                <c:pt idx="0">
                  <c:v>29</c:v>
                </c:pt>
                <c:pt idx="1">
                  <c:v>16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11-46E0-8B86-D73F1DD434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Calls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IN"/>
              <a:t>Block — Total vs Completed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Dashboard!$C$23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Dashboard!$B$24:$B$29</c:f>
              <c:strCache>
                <c:ptCount val="6"/>
                <c:pt idx="0">
                  <c:v>Keezhaiyur</c:v>
                </c:pt>
                <c:pt idx="1">
                  <c:v>Nagapattinam</c:v>
                </c:pt>
                <c:pt idx="2">
                  <c:v>Kelvelur</c:v>
                </c:pt>
                <c:pt idx="3">
                  <c:v>Thirumarugal</c:v>
                </c:pt>
                <c:pt idx="4">
                  <c:v>Thalainayar</c:v>
                </c:pt>
                <c:pt idx="5">
                  <c:v>Vedaranyam</c:v>
                </c:pt>
              </c:strCache>
            </c:strRef>
          </c:cat>
          <c:val>
            <c:numRef>
              <c:f>Dashboard!$C$24:$C$29</c:f>
              <c:numCache>
                <c:formatCode>General</c:formatCode>
                <c:ptCount val="6"/>
                <c:pt idx="0">
                  <c:v>4</c:v>
                </c:pt>
                <c:pt idx="1">
                  <c:v>13</c:v>
                </c:pt>
                <c:pt idx="2">
                  <c:v>7</c:v>
                </c:pt>
                <c:pt idx="3">
                  <c:v>11</c:v>
                </c:pt>
                <c:pt idx="4">
                  <c:v>7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6-4357-B911-129A0D2E171F}"/>
            </c:ext>
          </c:extLst>
        </c:ser>
        <c:ser>
          <c:idx val="1"/>
          <c:order val="1"/>
          <c:tx>
            <c:strRef>
              <c:f>Dashboard!$D$23</c:f>
              <c:strCache>
                <c:ptCount val="1"/>
                <c:pt idx="0">
                  <c:v>Completed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Dashboard!$B$24:$B$29</c:f>
              <c:strCache>
                <c:ptCount val="6"/>
                <c:pt idx="0">
                  <c:v>Keezhaiyur</c:v>
                </c:pt>
                <c:pt idx="1">
                  <c:v>Nagapattinam</c:v>
                </c:pt>
                <c:pt idx="2">
                  <c:v>Kelvelur</c:v>
                </c:pt>
                <c:pt idx="3">
                  <c:v>Thirumarugal</c:v>
                </c:pt>
                <c:pt idx="4">
                  <c:v>Thalainayar</c:v>
                </c:pt>
                <c:pt idx="5">
                  <c:v>Vedaranyam</c:v>
                </c:pt>
              </c:strCache>
            </c:strRef>
          </c:cat>
          <c:val>
            <c:numRef>
              <c:f>Dashboard!$D$24:$D$29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16-4357-B911-129A0D2E17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Calls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Block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31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31</xdr:row>
      <xdr:rowOff>0</xdr:rowOff>
    </xdr:from>
    <xdr:ext cx="4464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29"/>
  <sheetViews>
    <sheetView showGridLines="0" workbookViewId="0"/>
  </sheetViews>
  <sheetFormatPr defaultRowHeight="15" x14ac:dyDescent="0.25"/>
  <cols>
    <col min="2" max="2" width="24" customWidth="1"/>
    <col min="3" max="3" width="12" customWidth="1"/>
    <col min="4" max="4" width="14" customWidth="1"/>
    <col min="5" max="5" width="12" customWidth="1"/>
    <col min="6" max="6" width="2" customWidth="1"/>
    <col min="7" max="7" width="26" customWidth="1"/>
    <col min="8" max="8" width="10" customWidth="1"/>
    <col min="9" max="11" width="12" customWidth="1"/>
    <col min="12" max="13" width="6" customWidth="1"/>
  </cols>
  <sheetData>
    <row r="2" spans="2:13" ht="23.25" x14ac:dyDescent="0.35">
      <c r="B2" s="32" t="s">
        <v>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2:13" x14ac:dyDescent="0.25">
      <c r="B3" s="53" t="s">
        <v>1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5" spans="2:13" ht="20.100000000000001" customHeight="1" x14ac:dyDescent="0.25">
      <c r="B5" s="34" t="s">
        <v>2</v>
      </c>
      <c r="C5" s="35"/>
      <c r="D5" s="35"/>
      <c r="E5" s="35"/>
    </row>
    <row r="6" spans="2:13" x14ac:dyDescent="0.25">
      <c r="B6" s="45" t="s">
        <v>3</v>
      </c>
      <c r="C6" s="40"/>
      <c r="D6" s="39">
        <v>609703</v>
      </c>
      <c r="E6" s="40"/>
    </row>
    <row r="7" spans="2:13" x14ac:dyDescent="0.25">
      <c r="B7" s="45" t="s">
        <v>4</v>
      </c>
      <c r="C7" s="40"/>
      <c r="D7" s="39">
        <v>5</v>
      </c>
      <c r="E7" s="40"/>
    </row>
    <row r="8" spans="2:13" x14ac:dyDescent="0.25">
      <c r="B8" s="45" t="s">
        <v>5</v>
      </c>
      <c r="C8" s="40"/>
      <c r="D8" s="48">
        <f ca="1">TODAY()</f>
        <v>46223</v>
      </c>
      <c r="E8" s="40"/>
    </row>
    <row r="10" spans="2:13" ht="20.100000000000001" customHeight="1" x14ac:dyDescent="0.25">
      <c r="B10" s="34" t="s">
        <v>6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</row>
    <row r="11" spans="2:13" ht="18" customHeight="1" x14ac:dyDescent="0.25">
      <c r="B11" s="49" t="s">
        <v>7</v>
      </c>
      <c r="C11" s="37"/>
      <c r="D11" s="37"/>
      <c r="F11" s="47" t="s">
        <v>8</v>
      </c>
      <c r="G11" s="37"/>
      <c r="H11" s="37"/>
      <c r="J11" s="36" t="s">
        <v>9</v>
      </c>
      <c r="K11" s="37"/>
      <c r="L11" s="37"/>
    </row>
    <row r="12" spans="2:13" ht="21.95" customHeight="1" x14ac:dyDescent="0.25">
      <c r="B12" s="42">
        <f>COUNTA('Call Tracker'!D3:D55)</f>
        <v>53</v>
      </c>
      <c r="C12" s="37"/>
      <c r="D12" s="37"/>
      <c r="F12" s="44">
        <f>COUNTIF('Call Tracker'!L3:L55,"Completed")</f>
        <v>1</v>
      </c>
      <c r="G12" s="37"/>
      <c r="H12" s="37"/>
      <c r="J12" s="55">
        <f>COUNTIF('Call Tracker'!L3:L55,"Incomplete")</f>
        <v>0</v>
      </c>
      <c r="K12" s="37"/>
      <c r="L12" s="37"/>
    </row>
    <row r="13" spans="2:13" ht="21.95" customHeight="1" x14ac:dyDescent="0.25">
      <c r="B13" s="37"/>
      <c r="C13" s="37"/>
      <c r="D13" s="37"/>
      <c r="F13" s="37"/>
      <c r="G13" s="37"/>
      <c r="H13" s="37"/>
      <c r="J13" s="37"/>
      <c r="K13" s="37"/>
      <c r="L13" s="37"/>
    </row>
    <row r="15" spans="2:13" ht="18" customHeight="1" x14ac:dyDescent="0.25">
      <c r="B15" s="43" t="s">
        <v>10</v>
      </c>
      <c r="C15" s="37"/>
      <c r="D15" s="37"/>
      <c r="F15" s="54" t="s">
        <v>11</v>
      </c>
      <c r="G15" s="37"/>
      <c r="H15" s="37"/>
      <c r="J15" s="56" t="s">
        <v>12</v>
      </c>
      <c r="K15" s="37"/>
      <c r="L15" s="37"/>
    </row>
    <row r="16" spans="2:13" ht="21.95" customHeight="1" x14ac:dyDescent="0.25">
      <c r="B16" s="38">
        <f>COUNTIF('Call Tracker'!L3:L55,"Not Started")</f>
        <v>52</v>
      </c>
      <c r="C16" s="37"/>
      <c r="D16" s="37"/>
      <c r="F16" s="41">
        <f>ROUND(SUM('Call Tracker'!M3:M55),1)</f>
        <v>58</v>
      </c>
      <c r="G16" s="37"/>
      <c r="H16" s="37"/>
      <c r="J16" s="52">
        <f>ROUND(SUM('Call Tracker'!N3:N55),0)</f>
        <v>290</v>
      </c>
      <c r="K16" s="37"/>
      <c r="L16" s="37"/>
    </row>
    <row r="17" spans="2:13" ht="21.95" customHeight="1" x14ac:dyDescent="0.25">
      <c r="B17" s="37"/>
      <c r="C17" s="37"/>
      <c r="D17" s="37"/>
      <c r="F17" s="37"/>
      <c r="G17" s="37"/>
      <c r="H17" s="37"/>
      <c r="J17" s="37"/>
      <c r="K17" s="37"/>
      <c r="L17" s="37"/>
    </row>
    <row r="19" spans="2:13" ht="20.100000000000001" customHeight="1" x14ac:dyDescent="0.25">
      <c r="B19" s="46" t="s">
        <v>13</v>
      </c>
      <c r="C19" s="31"/>
      <c r="D19" s="50">
        <f>COUNTIF('Call Tracker'!L3:L55,"Completed")/COUNTA('Call Tracker'!D3:D55)</f>
        <v>1.8867924528301886E-2</v>
      </c>
      <c r="E19" s="31"/>
      <c r="F19" s="51" t="str">
        <f>REPT("█",ROUND(D19*40,0))&amp;REPT("░",40-ROUND(D19*40,0))</f>
        <v>█░░░░░░░░░░░░░░░░░░░░░░░░░░░░░░░░░░░░░░░</v>
      </c>
      <c r="G19" s="31"/>
      <c r="H19" s="31"/>
      <c r="I19" s="31"/>
      <c r="J19" s="31"/>
      <c r="K19" s="31"/>
      <c r="L19" s="31"/>
      <c r="M19" s="31"/>
    </row>
    <row r="22" spans="2:13" ht="20.100000000000001" customHeight="1" x14ac:dyDescent="0.25">
      <c r="B22" s="34" t="s">
        <v>14</v>
      </c>
      <c r="C22" s="35"/>
      <c r="D22" s="35"/>
      <c r="E22" s="35"/>
      <c r="G22" s="34" t="s">
        <v>15</v>
      </c>
      <c r="H22" s="35"/>
      <c r="I22" s="35"/>
      <c r="J22" s="35"/>
      <c r="K22" s="35"/>
    </row>
    <row r="23" spans="2:13" x14ac:dyDescent="0.25">
      <c r="B23" s="2" t="s">
        <v>16</v>
      </c>
      <c r="C23" s="2" t="s">
        <v>17</v>
      </c>
      <c r="D23" s="2" t="s">
        <v>18</v>
      </c>
      <c r="E23" s="2" t="s">
        <v>19</v>
      </c>
      <c r="G23" s="2" t="s">
        <v>20</v>
      </c>
      <c r="H23" s="2" t="s">
        <v>17</v>
      </c>
      <c r="I23" s="2" t="s">
        <v>18</v>
      </c>
      <c r="J23" s="2" t="s">
        <v>21</v>
      </c>
      <c r="K23" s="2" t="s">
        <v>22</v>
      </c>
    </row>
    <row r="24" spans="2:13" x14ac:dyDescent="0.25">
      <c r="B24" s="3" t="s">
        <v>23</v>
      </c>
      <c r="C24" s="4">
        <f>COUNTIF('Call Tracker'!C3:C55,"Keezhaiyur")</f>
        <v>4</v>
      </c>
      <c r="D24" s="5">
        <f>COUNTIFS('Call Tracker'!C3:C55,"Keezhaiyur",'Call Tracker'!L3:L55,"Completed")</f>
        <v>0</v>
      </c>
      <c r="E24" s="6">
        <f t="shared" ref="E24:E29" si="0">IFERROR(D24/C24,0)</f>
        <v>0</v>
      </c>
      <c r="G24" s="3" t="s">
        <v>24</v>
      </c>
      <c r="H24" s="4">
        <f>COUNTIF('Call Tracker'!F3:F55,"GOOGLE FORM - AI")</f>
        <v>29</v>
      </c>
      <c r="I24" s="5">
        <f>COUNTIFS('Call Tracker'!F3:F55,"GOOGLE FORM - AI",'Call Tracker'!L3:L55,"Completed")</f>
        <v>0</v>
      </c>
      <c r="J24" s="7">
        <f>COUNTIFS('Call Tracker'!F3:F55,"GOOGLE FORM - AI",'Call Tracker'!L3:L55,"Incomplete")</f>
        <v>0</v>
      </c>
      <c r="K24" s="4">
        <f>COUNTIFS('Call Tracker'!F3:F55,"GOOGLE FORM - AI",'Call Tracker'!L3:L55,"Not Started")</f>
        <v>29</v>
      </c>
    </row>
    <row r="25" spans="2:13" x14ac:dyDescent="0.25">
      <c r="B25" s="8" t="s">
        <v>25</v>
      </c>
      <c r="C25" s="9">
        <f>COUNTIF('Call Tracker'!C3:C55,"Nagapattinam")</f>
        <v>13</v>
      </c>
      <c r="D25" s="10">
        <f>COUNTIFS('Call Tracker'!C3:C55,"Nagapattinam",'Call Tracker'!L3:L55,"Completed")</f>
        <v>1</v>
      </c>
      <c r="E25" s="11">
        <f t="shared" si="0"/>
        <v>7.6923076923076927E-2</v>
      </c>
      <c r="G25" s="8" t="s">
        <v>26</v>
      </c>
      <c r="H25" s="9">
        <f>COUNTIF('Call Tracker'!F3:F55,"TICKETING TOOL TICKET")</f>
        <v>16</v>
      </c>
      <c r="I25" s="10">
        <f>COUNTIFS('Call Tracker'!F3:F55,"TICKETING TOOL TICKET",'Call Tracker'!L3:L55,"Completed")</f>
        <v>0</v>
      </c>
      <c r="J25" s="12">
        <f>COUNTIFS('Call Tracker'!F3:F55,"TICKETING TOOL TICKET",'Call Tracker'!L3:L55,"Incomplete")</f>
        <v>0</v>
      </c>
      <c r="K25" s="9">
        <f>COUNTIFS('Call Tracker'!F3:F55,"TICKETING TOOL TICKET",'Call Tracker'!L3:L55,"Not Started")</f>
        <v>16</v>
      </c>
    </row>
    <row r="26" spans="2:13" x14ac:dyDescent="0.25">
      <c r="B26" s="3" t="s">
        <v>27</v>
      </c>
      <c r="C26" s="4">
        <f>COUNTIF('Call Tracker'!C3:C55,"Kelvelur")</f>
        <v>7</v>
      </c>
      <c r="D26" s="5">
        <f>COUNTIFS('Call Tracker'!C3:C55,"Kelvelur",'Call Tracker'!L3:L55,"Completed")</f>
        <v>0</v>
      </c>
      <c r="E26" s="6">
        <f t="shared" si="0"/>
        <v>0</v>
      </c>
      <c r="G26" s="3" t="s">
        <v>28</v>
      </c>
      <c r="H26" s="4">
        <f>COUNTIF('Call Tracker'!F3:F55,"HELPLINE TICKET")</f>
        <v>5</v>
      </c>
      <c r="I26" s="5">
        <f>COUNTIFS('Call Tracker'!F3:F55,"HELPLINE TICKET",'Call Tracker'!L3:L55,"Completed")</f>
        <v>1</v>
      </c>
      <c r="J26" s="7">
        <f>COUNTIFS('Call Tracker'!F3:F55,"HELPLINE TICKET",'Call Tracker'!L3:L55,"Incomplete")</f>
        <v>0</v>
      </c>
      <c r="K26" s="4">
        <f>COUNTIFS('Call Tracker'!F3:F55,"HELPLINE TICKET",'Call Tracker'!L3:L55,"Not Started")</f>
        <v>4</v>
      </c>
    </row>
    <row r="27" spans="2:13" x14ac:dyDescent="0.25">
      <c r="B27" s="8" t="s">
        <v>29</v>
      </c>
      <c r="C27" s="9">
        <f>COUNTIF('Call Tracker'!C3:C55,"Thirumarugal")</f>
        <v>11</v>
      </c>
      <c r="D27" s="10">
        <f>COUNTIFS('Call Tracker'!C3:C55,"Thirumarugal",'Call Tracker'!L3:L55,"Completed")</f>
        <v>0</v>
      </c>
      <c r="E27" s="11">
        <f t="shared" si="0"/>
        <v>0</v>
      </c>
      <c r="G27" s="8" t="s">
        <v>30</v>
      </c>
      <c r="H27" s="9">
        <f>COUNTIF('Call Tracker'!F3:F55,"KS SMART")</f>
        <v>2</v>
      </c>
      <c r="I27" s="10">
        <f>COUNTIFS('Call Tracker'!F3:F55,"KS SMART",'Call Tracker'!L3:L55,"Completed")</f>
        <v>0</v>
      </c>
      <c r="J27" s="12">
        <f>COUNTIFS('Call Tracker'!F3:F55,"KS SMART",'Call Tracker'!L3:L55,"Incomplete")</f>
        <v>0</v>
      </c>
      <c r="K27" s="9">
        <f>COUNTIFS('Call Tracker'!F3:F55,"KS SMART",'Call Tracker'!L3:L55,"Not Started")</f>
        <v>2</v>
      </c>
    </row>
    <row r="28" spans="2:13" x14ac:dyDescent="0.25">
      <c r="B28" s="3" t="s">
        <v>31</v>
      </c>
      <c r="C28" s="4">
        <f>COUNTIF('Call Tracker'!C3:C55,"Thalainayar")</f>
        <v>7</v>
      </c>
      <c r="D28" s="5">
        <f>COUNTIFS('Call Tracker'!C3:C55,"Thalainayar",'Call Tracker'!L3:L55,"Completed")</f>
        <v>0</v>
      </c>
      <c r="E28" s="6">
        <f t="shared" si="0"/>
        <v>0</v>
      </c>
      <c r="G28" s="3" t="s">
        <v>32</v>
      </c>
      <c r="H28" s="4">
        <f>COUNTIF('Call Tracker'!F3:F55,"Ticketing Tool")</f>
        <v>1</v>
      </c>
      <c r="I28" s="5">
        <f>COUNTIFS('Call Tracker'!F3:F55,"Ticketing Tool",'Call Tracker'!L3:L55,"Completed")</f>
        <v>0</v>
      </c>
      <c r="J28" s="7">
        <f>COUNTIFS('Call Tracker'!F3:F55,"Ticketing Tool",'Call Tracker'!L3:L55,"Incomplete")</f>
        <v>0</v>
      </c>
      <c r="K28" s="4">
        <f>COUNTIFS('Call Tracker'!F3:F55,"Ticketing Tool",'Call Tracker'!L3:L55,"Not Started")</f>
        <v>1</v>
      </c>
    </row>
    <row r="29" spans="2:13" x14ac:dyDescent="0.25">
      <c r="B29" s="8" t="s">
        <v>33</v>
      </c>
      <c r="C29" s="9">
        <f>COUNTIF('Call Tracker'!C3:C55,"Vedaranyam")</f>
        <v>11</v>
      </c>
      <c r="D29" s="10">
        <f>COUNTIFS('Call Tracker'!C3:C55,"Vedaranyam",'Call Tracker'!L3:L55,"Completed")</f>
        <v>0</v>
      </c>
      <c r="E29" s="11">
        <f t="shared" si="0"/>
        <v>0</v>
      </c>
    </row>
  </sheetData>
  <mergeCells count="27">
    <mergeCell ref="B11:D11"/>
    <mergeCell ref="B2:M2"/>
    <mergeCell ref="B7:C7"/>
    <mergeCell ref="D19:E19"/>
    <mergeCell ref="F19:M19"/>
    <mergeCell ref="B5:E5"/>
    <mergeCell ref="J16:L17"/>
    <mergeCell ref="B3:M3"/>
    <mergeCell ref="F15:H15"/>
    <mergeCell ref="J12:L13"/>
    <mergeCell ref="J15:L15"/>
    <mergeCell ref="G22:K22"/>
    <mergeCell ref="J11:L11"/>
    <mergeCell ref="B16:D17"/>
    <mergeCell ref="D6:E6"/>
    <mergeCell ref="B10:M10"/>
    <mergeCell ref="F16:H17"/>
    <mergeCell ref="B12:D13"/>
    <mergeCell ref="B15:D15"/>
    <mergeCell ref="F12:H13"/>
    <mergeCell ref="B8:C8"/>
    <mergeCell ref="B22:E22"/>
    <mergeCell ref="D7:E7"/>
    <mergeCell ref="B19:C19"/>
    <mergeCell ref="F11:H11"/>
    <mergeCell ref="D8:E8"/>
    <mergeCell ref="B6:C6"/>
  </mergeCells>
  <pageMargins left="0.75" right="0.75" top="1" bottom="1" header="0.5" footer="0.5"/>
  <pageSetup fitToHeight="0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U63"/>
  <sheetViews>
    <sheetView showGridLines="0" tabSelected="1" workbookViewId="0">
      <pane xSplit="5" ySplit="2" topLeftCell="F7" activePane="bottomRight" state="frozen"/>
      <selection pane="topRight"/>
      <selection pane="bottomLeft"/>
      <selection pane="bottomRight" activeCell="D54" sqref="D54"/>
    </sheetView>
  </sheetViews>
  <sheetFormatPr defaultRowHeight="15" x14ac:dyDescent="0.25"/>
  <cols>
    <col min="1" max="1" width="5" customWidth="1"/>
    <col min="2" max="2" width="12" customWidth="1"/>
    <col min="3" max="3" width="14" customWidth="1"/>
    <col min="4" max="4" width="26" customWidth="1"/>
    <col min="5" max="5" width="34" customWidth="1"/>
    <col min="6" max="6" width="16" customWidth="1"/>
    <col min="7" max="7" width="16" style="26" customWidth="1"/>
    <col min="8" max="8" width="12" customWidth="1"/>
    <col min="9" max="9" width="10" customWidth="1"/>
    <col min="10" max="10" width="13" customWidth="1"/>
    <col min="11" max="11" width="10" customWidth="1"/>
    <col min="12" max="12" width="13" customWidth="1"/>
    <col min="13" max="13" width="12" customWidth="1"/>
    <col min="14" max="14" width="13" customWidth="1"/>
    <col min="15" max="15" width="12" customWidth="1"/>
    <col min="16" max="16" width="28" customWidth="1"/>
    <col min="17" max="17" width="32" style="26" customWidth="1"/>
    <col min="18" max="18" width="28" style="26" customWidth="1"/>
    <col min="19" max="20" width="14" style="26" customWidth="1"/>
  </cols>
  <sheetData>
    <row r="1" spans="1:21" ht="24" customHeight="1" x14ac:dyDescent="0.35">
      <c r="A1" s="32" t="s">
        <v>34</v>
      </c>
      <c r="B1" s="31"/>
      <c r="C1" s="31"/>
      <c r="D1" s="31"/>
      <c r="E1" s="31"/>
      <c r="F1" s="31"/>
      <c r="G1" s="33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/>
    </row>
    <row r="2" spans="1:21" ht="33.950000000000003" customHeight="1" x14ac:dyDescent="0.25">
      <c r="A2" s="2" t="s">
        <v>35</v>
      </c>
      <c r="B2" s="2" t="s">
        <v>36</v>
      </c>
      <c r="C2" s="2" t="s">
        <v>16</v>
      </c>
      <c r="D2" s="2" t="s">
        <v>37</v>
      </c>
      <c r="E2" s="2" t="s">
        <v>38</v>
      </c>
      <c r="F2" s="2" t="s">
        <v>20</v>
      </c>
      <c r="G2" s="2" t="s">
        <v>247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27"/>
    </row>
    <row r="3" spans="1:21" ht="30" hidden="1" customHeight="1" x14ac:dyDescent="0.25">
      <c r="A3" s="4">
        <v>1</v>
      </c>
      <c r="B3" s="13" t="s">
        <v>51</v>
      </c>
      <c r="C3" s="13" t="s">
        <v>23</v>
      </c>
      <c r="D3" s="13" t="s">
        <v>52</v>
      </c>
      <c r="E3" s="13" t="s">
        <v>53</v>
      </c>
      <c r="F3" s="13" t="s">
        <v>28</v>
      </c>
      <c r="G3" s="13"/>
      <c r="H3" s="13" t="s">
        <v>54</v>
      </c>
      <c r="I3" s="4" t="s">
        <v>55</v>
      </c>
      <c r="J3" s="14">
        <v>45954</v>
      </c>
      <c r="K3" s="4">
        <f ca="1">Dashboard!$D$8-J3</f>
        <v>269</v>
      </c>
      <c r="L3" s="13" t="s">
        <v>22</v>
      </c>
      <c r="M3" s="15"/>
      <c r="N3" s="16" t="str">
        <f>IF(L3&lt;&gt;"Completed","",IF(M3="","",IF(Dashboard!$D$7="","",M3*Dashboard!$D$7)))</f>
        <v/>
      </c>
      <c r="O3" s="17"/>
      <c r="P3" s="18"/>
      <c r="Q3" s="25"/>
      <c r="R3" s="25"/>
      <c r="S3" s="25"/>
      <c r="T3" s="28"/>
    </row>
    <row r="4" spans="1:21" ht="30" hidden="1" customHeight="1" x14ac:dyDescent="0.25">
      <c r="A4" s="9">
        <v>2</v>
      </c>
      <c r="B4" s="19" t="s">
        <v>56</v>
      </c>
      <c r="C4" s="19" t="s">
        <v>25</v>
      </c>
      <c r="D4" s="19" t="s">
        <v>57</v>
      </c>
      <c r="E4" s="19" t="s">
        <v>58</v>
      </c>
      <c r="F4" s="19" t="s">
        <v>28</v>
      </c>
      <c r="G4" s="19"/>
      <c r="H4" s="19" t="s">
        <v>59</v>
      </c>
      <c r="I4" s="9" t="s">
        <v>60</v>
      </c>
      <c r="J4" s="20">
        <v>46000</v>
      </c>
      <c r="K4" s="9">
        <f ca="1">Dashboard!$D$8-J4</f>
        <v>223</v>
      </c>
      <c r="L4" s="19" t="s">
        <v>18</v>
      </c>
      <c r="M4" s="15">
        <v>58</v>
      </c>
      <c r="N4" s="21">
        <f>IF(L4&lt;&gt;"Completed","",IF(M4="","",IF(Dashboard!$D$7="","",M4*Dashboard!$D$7)))</f>
        <v>290</v>
      </c>
      <c r="O4" s="22">
        <v>46219</v>
      </c>
      <c r="P4" s="23"/>
      <c r="Q4" s="24" t="s">
        <v>243</v>
      </c>
      <c r="R4" s="24" t="s">
        <v>244</v>
      </c>
      <c r="S4" s="24" t="s">
        <v>245</v>
      </c>
      <c r="T4" s="29"/>
    </row>
    <row r="5" spans="1:21" ht="30" hidden="1" customHeight="1" x14ac:dyDescent="0.25">
      <c r="A5" s="4">
        <v>3</v>
      </c>
      <c r="B5" s="13" t="s">
        <v>61</v>
      </c>
      <c r="C5" s="13" t="s">
        <v>27</v>
      </c>
      <c r="D5" s="13" t="s">
        <v>62</v>
      </c>
      <c r="E5" s="13" t="s">
        <v>63</v>
      </c>
      <c r="F5" s="13" t="s">
        <v>26</v>
      </c>
      <c r="G5" s="13"/>
      <c r="H5" s="13" t="s">
        <v>64</v>
      </c>
      <c r="I5" s="4" t="s">
        <v>55</v>
      </c>
      <c r="J5" s="14">
        <v>46004</v>
      </c>
      <c r="K5" s="4">
        <f ca="1">Dashboard!$D$8-J5</f>
        <v>219</v>
      </c>
      <c r="L5" s="13" t="s">
        <v>22</v>
      </c>
      <c r="M5" s="15"/>
      <c r="N5" s="16" t="str">
        <f>IF(L5&lt;&gt;"Completed","",IF(M5="","",IF(Dashboard!$D$7="","",M5*Dashboard!$D$7)))</f>
        <v/>
      </c>
      <c r="O5" s="17"/>
      <c r="P5" s="18"/>
      <c r="Q5" s="25"/>
      <c r="R5" s="25"/>
      <c r="S5" s="25"/>
      <c r="T5" s="28"/>
    </row>
    <row r="6" spans="1:21" ht="30" hidden="1" customHeight="1" x14ac:dyDescent="0.25">
      <c r="A6" s="9">
        <v>4</v>
      </c>
      <c r="B6" s="19" t="s">
        <v>65</v>
      </c>
      <c r="C6" s="19" t="s">
        <v>27</v>
      </c>
      <c r="D6" s="19" t="s">
        <v>66</v>
      </c>
      <c r="E6" s="19" t="s">
        <v>67</v>
      </c>
      <c r="F6" s="19" t="s">
        <v>26</v>
      </c>
      <c r="G6" s="19"/>
      <c r="H6" s="19" t="s">
        <v>68</v>
      </c>
      <c r="I6" s="9" t="s">
        <v>55</v>
      </c>
      <c r="J6" s="20">
        <v>46004</v>
      </c>
      <c r="K6" s="9">
        <f ca="1">Dashboard!$D$8-J6</f>
        <v>219</v>
      </c>
      <c r="L6" s="19" t="s">
        <v>22</v>
      </c>
      <c r="M6" s="15"/>
      <c r="N6" s="21" t="str">
        <f>IF(L6&lt;&gt;"Completed","",IF(M6="","",IF(Dashboard!$D$7="","",M6*Dashboard!$D$7)))</f>
        <v/>
      </c>
      <c r="O6" s="22"/>
      <c r="P6" s="23"/>
      <c r="Q6" s="24"/>
      <c r="R6" s="24"/>
      <c r="S6" s="24"/>
      <c r="T6" s="29"/>
    </row>
    <row r="7" spans="1:21" ht="30" customHeight="1" x14ac:dyDescent="0.25">
      <c r="A7" s="4">
        <v>5</v>
      </c>
      <c r="B7" s="13" t="s">
        <v>69</v>
      </c>
      <c r="C7" s="13" t="s">
        <v>29</v>
      </c>
      <c r="D7" s="13" t="s">
        <v>70</v>
      </c>
      <c r="E7" s="13" t="s">
        <v>71</v>
      </c>
      <c r="F7" s="13" t="s">
        <v>26</v>
      </c>
      <c r="G7" s="4" t="s">
        <v>246</v>
      </c>
      <c r="H7" s="13" t="s">
        <v>72</v>
      </c>
      <c r="I7" s="4" t="s">
        <v>55</v>
      </c>
      <c r="J7" s="14">
        <v>46007</v>
      </c>
      <c r="K7" s="4">
        <f ca="1">Dashboard!$D$8-J7</f>
        <v>216</v>
      </c>
      <c r="L7" s="13" t="s">
        <v>22</v>
      </c>
      <c r="M7" s="15"/>
      <c r="N7" s="16" t="str">
        <f>IF(L7&lt;&gt;"Completed","",IF(M7="","",IF(Dashboard!$D$7="","",M7*Dashboard!$D$7)))</f>
        <v/>
      </c>
      <c r="O7" s="17"/>
      <c r="P7" s="18"/>
      <c r="Q7" s="25"/>
      <c r="R7" s="25"/>
      <c r="S7" s="25"/>
      <c r="T7" s="28"/>
      <c r="U7" t="s">
        <v>246</v>
      </c>
    </row>
    <row r="8" spans="1:21" ht="30" hidden="1" customHeight="1" x14ac:dyDescent="0.25">
      <c r="A8" s="9">
        <v>6</v>
      </c>
      <c r="B8" s="19" t="s">
        <v>73</v>
      </c>
      <c r="C8" s="19" t="s">
        <v>31</v>
      </c>
      <c r="D8" s="19" t="s">
        <v>74</v>
      </c>
      <c r="E8" s="19" t="s">
        <v>75</v>
      </c>
      <c r="F8" s="19" t="s">
        <v>26</v>
      </c>
      <c r="G8" s="19"/>
      <c r="H8" s="19" t="s">
        <v>76</v>
      </c>
      <c r="I8" s="9" t="s">
        <v>55</v>
      </c>
      <c r="J8" s="20">
        <v>46008</v>
      </c>
      <c r="K8" s="9">
        <f ca="1">Dashboard!$D$8-J8</f>
        <v>215</v>
      </c>
      <c r="L8" s="19" t="s">
        <v>22</v>
      </c>
      <c r="M8" s="15"/>
      <c r="N8" s="21" t="str">
        <f>IF(L8&lt;&gt;"Completed","",IF(M8="","",IF(Dashboard!$D$7="","",M8*Dashboard!$D$7)))</f>
        <v/>
      </c>
      <c r="O8" s="22"/>
      <c r="P8" s="23"/>
      <c r="Q8" s="24"/>
      <c r="R8" s="24"/>
      <c r="S8" s="24"/>
      <c r="T8" s="29"/>
    </row>
    <row r="9" spans="1:21" ht="30" hidden="1" customHeight="1" x14ac:dyDescent="0.25">
      <c r="A9" s="4">
        <v>7</v>
      </c>
      <c r="B9" s="13" t="s">
        <v>77</v>
      </c>
      <c r="C9" s="13" t="s">
        <v>27</v>
      </c>
      <c r="D9" s="13" t="s">
        <v>78</v>
      </c>
      <c r="E9" s="13" t="s">
        <v>79</v>
      </c>
      <c r="F9" s="13" t="s">
        <v>28</v>
      </c>
      <c r="G9" s="13"/>
      <c r="H9" s="13" t="s">
        <v>80</v>
      </c>
      <c r="I9" s="4" t="s">
        <v>55</v>
      </c>
      <c r="J9" s="14">
        <v>46009</v>
      </c>
      <c r="K9" s="4">
        <f ca="1">Dashboard!$D$8-J9</f>
        <v>214</v>
      </c>
      <c r="L9" s="13" t="s">
        <v>22</v>
      </c>
      <c r="M9" s="15"/>
      <c r="N9" s="16" t="str">
        <f>IF(L9&lt;&gt;"Completed","",IF(M9="","",IF(Dashboard!$D$7="","",M9*Dashboard!$D$7)))</f>
        <v/>
      </c>
      <c r="O9" s="17"/>
      <c r="P9" s="18"/>
      <c r="Q9" s="25"/>
      <c r="R9" s="25"/>
      <c r="S9" s="25"/>
      <c r="T9" s="28"/>
    </row>
    <row r="10" spans="1:21" ht="30" hidden="1" customHeight="1" x14ac:dyDescent="0.25">
      <c r="A10" s="9">
        <v>8</v>
      </c>
      <c r="B10" s="19" t="s">
        <v>81</v>
      </c>
      <c r="C10" s="19" t="s">
        <v>31</v>
      </c>
      <c r="D10" s="19" t="s">
        <v>82</v>
      </c>
      <c r="E10" s="19" t="s">
        <v>83</v>
      </c>
      <c r="F10" s="19" t="s">
        <v>28</v>
      </c>
      <c r="G10" s="19"/>
      <c r="H10" s="19" t="s">
        <v>84</v>
      </c>
      <c r="I10" s="9" t="s">
        <v>55</v>
      </c>
      <c r="J10" s="20">
        <v>46029</v>
      </c>
      <c r="K10" s="9">
        <f ca="1">Dashboard!$D$8-J10</f>
        <v>194</v>
      </c>
      <c r="L10" s="19" t="s">
        <v>22</v>
      </c>
      <c r="M10" s="15"/>
      <c r="N10" s="21" t="str">
        <f>IF(L10&lt;&gt;"Completed","",IF(M10="","",IF(Dashboard!$D$7="","",M10*Dashboard!$D$7)))</f>
        <v/>
      </c>
      <c r="O10" s="22"/>
      <c r="P10" s="23"/>
      <c r="Q10" s="24"/>
      <c r="R10" s="24"/>
      <c r="S10" s="24"/>
      <c r="T10" s="29"/>
    </row>
    <row r="11" spans="1:21" ht="30" hidden="1" customHeight="1" x14ac:dyDescent="0.25">
      <c r="A11" s="4">
        <v>9</v>
      </c>
      <c r="B11" s="13" t="s">
        <v>85</v>
      </c>
      <c r="C11" s="13" t="s">
        <v>27</v>
      </c>
      <c r="D11" s="13" t="s">
        <v>86</v>
      </c>
      <c r="E11" s="13" t="s">
        <v>87</v>
      </c>
      <c r="F11" s="13" t="s">
        <v>26</v>
      </c>
      <c r="G11" s="13"/>
      <c r="H11" s="13" t="s">
        <v>88</v>
      </c>
      <c r="I11" s="4" t="s">
        <v>55</v>
      </c>
      <c r="J11" s="14">
        <v>46030</v>
      </c>
      <c r="K11" s="4">
        <f ca="1">Dashboard!$D$8-J11</f>
        <v>193</v>
      </c>
      <c r="L11" s="13" t="s">
        <v>22</v>
      </c>
      <c r="M11" s="15"/>
      <c r="N11" s="16" t="str">
        <f>IF(L11&lt;&gt;"Completed","",IF(M11="","",IF(Dashboard!$D$7="","",M11*Dashboard!$D$7)))</f>
        <v/>
      </c>
      <c r="O11" s="17"/>
      <c r="P11" s="18"/>
      <c r="Q11" s="25"/>
      <c r="R11" s="25"/>
      <c r="S11" s="25"/>
      <c r="T11" s="28"/>
    </row>
    <row r="12" spans="1:21" ht="30" hidden="1" customHeight="1" x14ac:dyDescent="0.25">
      <c r="A12" s="9">
        <v>10</v>
      </c>
      <c r="B12" s="19" t="s">
        <v>89</v>
      </c>
      <c r="C12" s="19" t="s">
        <v>33</v>
      </c>
      <c r="D12" s="19" t="s">
        <v>90</v>
      </c>
      <c r="E12" s="19" t="s">
        <v>91</v>
      </c>
      <c r="F12" s="19" t="s">
        <v>26</v>
      </c>
      <c r="G12" s="19"/>
      <c r="H12" s="19" t="s">
        <v>92</v>
      </c>
      <c r="I12" s="9" t="s">
        <v>55</v>
      </c>
      <c r="J12" s="20">
        <v>46031</v>
      </c>
      <c r="K12" s="9">
        <f ca="1">Dashboard!$D$8-J12</f>
        <v>192</v>
      </c>
      <c r="L12" s="19" t="s">
        <v>22</v>
      </c>
      <c r="M12" s="15"/>
      <c r="N12" s="21" t="str">
        <f>IF(L12&lt;&gt;"Completed","",IF(M12="","",IF(Dashboard!$D$7="","",M12*Dashboard!$D$7)))</f>
        <v/>
      </c>
      <c r="O12" s="22"/>
      <c r="P12" s="23"/>
      <c r="Q12" s="24"/>
      <c r="R12" s="24"/>
      <c r="S12" s="24"/>
      <c r="T12" s="29"/>
    </row>
    <row r="13" spans="1:21" ht="30" hidden="1" customHeight="1" x14ac:dyDescent="0.25">
      <c r="A13" s="4">
        <v>11</v>
      </c>
      <c r="B13" s="13" t="s">
        <v>93</v>
      </c>
      <c r="C13" s="13" t="s">
        <v>33</v>
      </c>
      <c r="D13" s="13" t="s">
        <v>94</v>
      </c>
      <c r="E13" s="13" t="s">
        <v>95</v>
      </c>
      <c r="F13" s="13" t="s">
        <v>26</v>
      </c>
      <c r="G13" s="13"/>
      <c r="H13" s="13" t="s">
        <v>96</v>
      </c>
      <c r="I13" s="4" t="s">
        <v>55</v>
      </c>
      <c r="J13" s="14">
        <v>46034</v>
      </c>
      <c r="K13" s="4">
        <f ca="1">Dashboard!$D$8-J13</f>
        <v>189</v>
      </c>
      <c r="L13" s="13" t="s">
        <v>22</v>
      </c>
      <c r="M13" s="15"/>
      <c r="N13" s="16" t="str">
        <f>IF(L13&lt;&gt;"Completed","",IF(M13="","",IF(Dashboard!$D$7="","",M13*Dashboard!$D$7)))</f>
        <v/>
      </c>
      <c r="O13" s="17"/>
      <c r="P13" s="18"/>
      <c r="Q13" s="25"/>
      <c r="R13" s="25"/>
      <c r="S13" s="25"/>
      <c r="T13" s="28"/>
    </row>
    <row r="14" spans="1:21" ht="30" hidden="1" customHeight="1" x14ac:dyDescent="0.25">
      <c r="A14" s="9">
        <v>12</v>
      </c>
      <c r="B14" s="19" t="s">
        <v>97</v>
      </c>
      <c r="C14" s="19" t="s">
        <v>33</v>
      </c>
      <c r="D14" s="19" t="s">
        <v>98</v>
      </c>
      <c r="E14" s="19" t="s">
        <v>99</v>
      </c>
      <c r="F14" s="19" t="s">
        <v>26</v>
      </c>
      <c r="G14" s="19"/>
      <c r="H14" s="19" t="s">
        <v>100</v>
      </c>
      <c r="I14" s="9" t="s">
        <v>55</v>
      </c>
      <c r="J14" s="20">
        <v>46034</v>
      </c>
      <c r="K14" s="9">
        <f ca="1">Dashboard!$D$8-J14</f>
        <v>189</v>
      </c>
      <c r="L14" s="19" t="s">
        <v>22</v>
      </c>
      <c r="M14" s="15"/>
      <c r="N14" s="21" t="str">
        <f>IF(L14&lt;&gt;"Completed","",IF(M14="","",IF(Dashboard!$D$7="","",M14*Dashboard!$D$7)))</f>
        <v/>
      </c>
      <c r="O14" s="22"/>
      <c r="P14" s="23"/>
      <c r="Q14" s="24"/>
      <c r="R14" s="24"/>
      <c r="S14" s="24"/>
      <c r="T14" s="29"/>
    </row>
    <row r="15" spans="1:21" ht="30" hidden="1" customHeight="1" x14ac:dyDescent="0.25">
      <c r="A15" s="4">
        <v>13</v>
      </c>
      <c r="B15" s="13" t="s">
        <v>101</v>
      </c>
      <c r="C15" s="13" t="s">
        <v>27</v>
      </c>
      <c r="D15" s="13" t="s">
        <v>102</v>
      </c>
      <c r="E15" s="13" t="s">
        <v>103</v>
      </c>
      <c r="F15" s="13" t="s">
        <v>26</v>
      </c>
      <c r="G15" s="13"/>
      <c r="H15" s="13" t="s">
        <v>104</v>
      </c>
      <c r="I15" s="4" t="s">
        <v>55</v>
      </c>
      <c r="J15" s="14">
        <v>46049</v>
      </c>
      <c r="K15" s="4">
        <f ca="1">Dashboard!$D$8-J15</f>
        <v>174</v>
      </c>
      <c r="L15" s="13" t="s">
        <v>22</v>
      </c>
      <c r="M15" s="15"/>
      <c r="N15" s="16" t="str">
        <f>IF(L15&lt;&gt;"Completed","",IF(M15="","",IF(Dashboard!$D$7="","",M15*Dashboard!$D$7)))</f>
        <v/>
      </c>
      <c r="O15" s="17"/>
      <c r="P15" s="18"/>
      <c r="Q15" s="25"/>
      <c r="R15" s="25"/>
      <c r="S15" s="25"/>
      <c r="T15" s="28"/>
    </row>
    <row r="16" spans="1:21" ht="30" hidden="1" customHeight="1" x14ac:dyDescent="0.25">
      <c r="A16" s="9">
        <v>14</v>
      </c>
      <c r="B16" s="19" t="s">
        <v>105</v>
      </c>
      <c r="C16" s="19" t="s">
        <v>29</v>
      </c>
      <c r="D16" s="19" t="s">
        <v>106</v>
      </c>
      <c r="E16" s="19" t="s">
        <v>107</v>
      </c>
      <c r="F16" s="19" t="s">
        <v>28</v>
      </c>
      <c r="G16" s="19"/>
      <c r="H16" s="19" t="s">
        <v>108</v>
      </c>
      <c r="I16" s="9" t="s">
        <v>55</v>
      </c>
      <c r="J16" s="20">
        <v>46049</v>
      </c>
      <c r="K16" s="9">
        <f ca="1">Dashboard!$D$8-J16</f>
        <v>174</v>
      </c>
      <c r="L16" s="19" t="s">
        <v>22</v>
      </c>
      <c r="M16" s="15"/>
      <c r="N16" s="21" t="str">
        <f>IF(L16&lt;&gt;"Completed","",IF(M16="","",IF(Dashboard!$D$7="","",M16*Dashboard!$D$7)))</f>
        <v/>
      </c>
      <c r="O16" s="22"/>
      <c r="P16" s="23"/>
      <c r="Q16" s="24"/>
      <c r="R16" s="24"/>
      <c r="S16" s="24"/>
      <c r="T16" s="29"/>
    </row>
    <row r="17" spans="1:20" ht="30" customHeight="1" x14ac:dyDescent="0.25">
      <c r="A17" s="4">
        <v>15</v>
      </c>
      <c r="B17" s="13" t="s">
        <v>109</v>
      </c>
      <c r="C17" s="13" t="s">
        <v>29</v>
      </c>
      <c r="D17" s="13" t="s">
        <v>110</v>
      </c>
      <c r="E17" s="13" t="s">
        <v>111</v>
      </c>
      <c r="F17" s="13" t="s">
        <v>26</v>
      </c>
      <c r="G17" s="4" t="s">
        <v>248</v>
      </c>
      <c r="H17" s="13">
        <v>8344727441</v>
      </c>
      <c r="I17" s="4" t="s">
        <v>55</v>
      </c>
      <c r="J17" s="14">
        <v>46050</v>
      </c>
      <c r="K17" s="4">
        <f ca="1">Dashboard!$D$8-J17</f>
        <v>173</v>
      </c>
      <c r="L17" s="13" t="s">
        <v>22</v>
      </c>
      <c r="M17" s="15"/>
      <c r="N17" s="16" t="str">
        <f>IF(L17&lt;&gt;"Completed","",IF(M17="","",IF(Dashboard!$D$7="","",M17*Dashboard!$D$7)))</f>
        <v/>
      </c>
      <c r="O17" s="17"/>
      <c r="P17" s="18"/>
      <c r="Q17" s="25"/>
      <c r="R17" s="25"/>
      <c r="S17" s="25"/>
      <c r="T17" s="28"/>
    </row>
    <row r="18" spans="1:20" ht="30" hidden="1" customHeight="1" x14ac:dyDescent="0.25">
      <c r="A18" s="9">
        <v>16</v>
      </c>
      <c r="B18" s="19" t="s">
        <v>112</v>
      </c>
      <c r="C18" s="19" t="s">
        <v>31</v>
      </c>
      <c r="D18" s="19" t="s">
        <v>113</v>
      </c>
      <c r="E18" s="19" t="s">
        <v>114</v>
      </c>
      <c r="F18" s="19" t="s">
        <v>26</v>
      </c>
      <c r="G18" s="19"/>
      <c r="H18" s="19" t="s">
        <v>115</v>
      </c>
      <c r="I18" s="9" t="s">
        <v>55</v>
      </c>
      <c r="J18" s="20">
        <v>46067</v>
      </c>
      <c r="K18" s="9">
        <f ca="1">Dashboard!$D$8-J18</f>
        <v>156</v>
      </c>
      <c r="L18" s="19" t="s">
        <v>22</v>
      </c>
      <c r="M18" s="15"/>
      <c r="N18" s="21" t="str">
        <f>IF(L18&lt;&gt;"Completed","",IF(M18="","",IF(Dashboard!$D$7="","",M18*Dashboard!$D$7)))</f>
        <v/>
      </c>
      <c r="O18" s="22"/>
      <c r="P18" s="23"/>
      <c r="Q18" s="24"/>
      <c r="R18" s="24"/>
      <c r="S18" s="24"/>
      <c r="T18" s="29"/>
    </row>
    <row r="19" spans="1:20" ht="30" customHeight="1" x14ac:dyDescent="0.25">
      <c r="A19" s="4">
        <v>17</v>
      </c>
      <c r="B19" s="13" t="s">
        <v>116</v>
      </c>
      <c r="C19" s="13" t="s">
        <v>29</v>
      </c>
      <c r="D19" s="13" t="s">
        <v>117</v>
      </c>
      <c r="E19" s="13" t="s">
        <v>118</v>
      </c>
      <c r="F19" s="13" t="s">
        <v>26</v>
      </c>
      <c r="G19" s="4" t="s">
        <v>249</v>
      </c>
      <c r="H19" s="13" t="s">
        <v>119</v>
      </c>
      <c r="I19" s="4" t="s">
        <v>55</v>
      </c>
      <c r="J19" s="14">
        <v>46069</v>
      </c>
      <c r="K19" s="4">
        <f ca="1">Dashboard!$D$8-J19</f>
        <v>154</v>
      </c>
      <c r="L19" s="13" t="s">
        <v>22</v>
      </c>
      <c r="M19" s="15"/>
      <c r="N19" s="16" t="str">
        <f>IF(L19&lt;&gt;"Completed","",IF(M19="","",IF(Dashboard!$D$7="","",M19*Dashboard!$D$7)))</f>
        <v/>
      </c>
      <c r="O19" s="17"/>
      <c r="P19" s="18"/>
      <c r="Q19" s="25"/>
      <c r="R19" s="25"/>
      <c r="S19" s="25"/>
      <c r="T19" s="28"/>
    </row>
    <row r="20" spans="1:20" ht="30" hidden="1" customHeight="1" x14ac:dyDescent="0.25">
      <c r="A20" s="9">
        <v>18</v>
      </c>
      <c r="B20" s="19" t="s">
        <v>120</v>
      </c>
      <c r="C20" s="19" t="s">
        <v>29</v>
      </c>
      <c r="D20" s="19" t="s">
        <v>121</v>
      </c>
      <c r="E20" s="19" t="s">
        <v>122</v>
      </c>
      <c r="F20" s="19" t="s">
        <v>24</v>
      </c>
      <c r="G20" s="19"/>
      <c r="H20" s="19" t="s">
        <v>123</v>
      </c>
      <c r="I20" s="9" t="s">
        <v>55</v>
      </c>
      <c r="J20" s="20">
        <v>46084</v>
      </c>
      <c r="K20" s="9">
        <f ca="1">Dashboard!$D$8-J20</f>
        <v>139</v>
      </c>
      <c r="L20" s="19" t="s">
        <v>22</v>
      </c>
      <c r="M20" s="15"/>
      <c r="N20" s="21" t="str">
        <f>IF(L20&lt;&gt;"Completed","",IF(M20="","",IF(Dashboard!$D$7="","",M20*Dashboard!$D$7)))</f>
        <v/>
      </c>
      <c r="O20" s="22"/>
      <c r="P20" s="23"/>
      <c r="Q20" s="24"/>
      <c r="R20" s="24"/>
      <c r="S20" s="24"/>
      <c r="T20" s="29"/>
    </row>
    <row r="21" spans="1:20" ht="30" hidden="1" customHeight="1" x14ac:dyDescent="0.25">
      <c r="A21" s="4">
        <v>19</v>
      </c>
      <c r="B21" s="13" t="s">
        <v>124</v>
      </c>
      <c r="C21" s="13" t="s">
        <v>29</v>
      </c>
      <c r="D21" s="13" t="s">
        <v>125</v>
      </c>
      <c r="E21" s="13" t="s">
        <v>126</v>
      </c>
      <c r="F21" s="13" t="s">
        <v>24</v>
      </c>
      <c r="G21" s="13"/>
      <c r="H21" s="13" t="s">
        <v>123</v>
      </c>
      <c r="I21" s="4" t="s">
        <v>55</v>
      </c>
      <c r="J21" s="14">
        <v>46084</v>
      </c>
      <c r="K21" s="4">
        <f ca="1">Dashboard!$D$8-J21</f>
        <v>139</v>
      </c>
      <c r="L21" s="13" t="s">
        <v>22</v>
      </c>
      <c r="M21" s="15"/>
      <c r="N21" s="16" t="str">
        <f>IF(L21&lt;&gt;"Completed","",IF(M21="","",IF(Dashboard!$D$7="","",M21*Dashboard!$D$7)))</f>
        <v/>
      </c>
      <c r="O21" s="17"/>
      <c r="P21" s="18"/>
      <c r="Q21" s="25"/>
      <c r="R21" s="25"/>
      <c r="S21" s="25"/>
      <c r="T21" s="28"/>
    </row>
    <row r="22" spans="1:20" ht="30" hidden="1" customHeight="1" x14ac:dyDescent="0.25">
      <c r="A22" s="9">
        <v>20</v>
      </c>
      <c r="B22" s="19" t="s">
        <v>127</v>
      </c>
      <c r="C22" s="19" t="s">
        <v>25</v>
      </c>
      <c r="D22" s="19" t="s">
        <v>128</v>
      </c>
      <c r="E22" s="19" t="s">
        <v>129</v>
      </c>
      <c r="F22" s="19" t="s">
        <v>24</v>
      </c>
      <c r="G22" s="19"/>
      <c r="H22" s="19" t="s">
        <v>123</v>
      </c>
      <c r="I22" s="9" t="s">
        <v>60</v>
      </c>
      <c r="J22" s="20">
        <v>46084</v>
      </c>
      <c r="K22" s="9">
        <f ca="1">Dashboard!$D$8-J22</f>
        <v>139</v>
      </c>
      <c r="L22" s="19" t="s">
        <v>22</v>
      </c>
      <c r="M22" s="15"/>
      <c r="N22" s="21" t="str">
        <f>IF(L22&lt;&gt;"Completed","",IF(M22="","",IF(Dashboard!$D$7="","",M22*Dashboard!$D$7)))</f>
        <v/>
      </c>
      <c r="O22" s="22"/>
      <c r="P22" s="23"/>
      <c r="Q22" s="24"/>
      <c r="R22" s="24"/>
      <c r="S22" s="24"/>
      <c r="T22" s="29"/>
    </row>
    <row r="23" spans="1:20" ht="30" hidden="1" customHeight="1" x14ac:dyDescent="0.25">
      <c r="A23" s="4">
        <v>21</v>
      </c>
      <c r="B23" s="13" t="s">
        <v>130</v>
      </c>
      <c r="C23" s="13" t="s">
        <v>25</v>
      </c>
      <c r="D23" s="13" t="s">
        <v>131</v>
      </c>
      <c r="E23" s="13" t="s">
        <v>129</v>
      </c>
      <c r="F23" s="13" t="s">
        <v>24</v>
      </c>
      <c r="G23" s="13"/>
      <c r="H23" s="13" t="s">
        <v>123</v>
      </c>
      <c r="I23" s="4" t="s">
        <v>60</v>
      </c>
      <c r="J23" s="14">
        <v>46084</v>
      </c>
      <c r="K23" s="4">
        <f ca="1">Dashboard!$D$8-J23</f>
        <v>139</v>
      </c>
      <c r="L23" s="13" t="s">
        <v>22</v>
      </c>
      <c r="M23" s="15"/>
      <c r="N23" s="16" t="str">
        <f>IF(L23&lt;&gt;"Completed","",IF(M23="","",IF(Dashboard!$D$7="","",M23*Dashboard!$D$7)))</f>
        <v/>
      </c>
      <c r="O23" s="17"/>
      <c r="P23" s="18"/>
      <c r="Q23" s="25"/>
      <c r="R23" s="25"/>
      <c r="S23" s="25"/>
      <c r="T23" s="28"/>
    </row>
    <row r="24" spans="1:20" ht="30" hidden="1" customHeight="1" x14ac:dyDescent="0.25">
      <c r="A24" s="9">
        <v>22</v>
      </c>
      <c r="B24" s="19" t="s">
        <v>132</v>
      </c>
      <c r="C24" s="19" t="s">
        <v>25</v>
      </c>
      <c r="D24" s="19" t="s">
        <v>133</v>
      </c>
      <c r="E24" s="19" t="s">
        <v>129</v>
      </c>
      <c r="F24" s="19" t="s">
        <v>24</v>
      </c>
      <c r="G24" s="19"/>
      <c r="H24" s="19" t="s">
        <v>123</v>
      </c>
      <c r="I24" s="9" t="s">
        <v>60</v>
      </c>
      <c r="J24" s="20">
        <v>46084</v>
      </c>
      <c r="K24" s="9">
        <f ca="1">Dashboard!$D$8-J24</f>
        <v>139</v>
      </c>
      <c r="L24" s="19" t="s">
        <v>22</v>
      </c>
      <c r="M24" s="15"/>
      <c r="N24" s="21" t="str">
        <f>IF(L24&lt;&gt;"Completed","",IF(M24="","",IF(Dashboard!$D$7="","",M24*Dashboard!$D$7)))</f>
        <v/>
      </c>
      <c r="O24" s="22"/>
      <c r="P24" s="23"/>
      <c r="Q24" s="24"/>
      <c r="R24" s="24"/>
      <c r="S24" s="24"/>
      <c r="T24" s="29"/>
    </row>
    <row r="25" spans="1:20" ht="30" hidden="1" customHeight="1" x14ac:dyDescent="0.25">
      <c r="A25" s="4">
        <v>23</v>
      </c>
      <c r="B25" s="13" t="s">
        <v>134</v>
      </c>
      <c r="C25" s="13" t="s">
        <v>29</v>
      </c>
      <c r="D25" s="13" t="s">
        <v>135</v>
      </c>
      <c r="E25" s="13" t="s">
        <v>136</v>
      </c>
      <c r="F25" s="13" t="s">
        <v>24</v>
      </c>
      <c r="G25" s="13"/>
      <c r="H25" s="13" t="s">
        <v>123</v>
      </c>
      <c r="I25" s="4" t="s">
        <v>55</v>
      </c>
      <c r="J25" s="14">
        <v>46084</v>
      </c>
      <c r="K25" s="4">
        <f ca="1">Dashboard!$D$8-J25</f>
        <v>139</v>
      </c>
      <c r="L25" s="13" t="s">
        <v>22</v>
      </c>
      <c r="M25" s="15"/>
      <c r="N25" s="16" t="str">
        <f>IF(L25&lt;&gt;"Completed","",IF(M25="","",IF(Dashboard!$D$7="","",M25*Dashboard!$D$7)))</f>
        <v/>
      </c>
      <c r="O25" s="17"/>
      <c r="P25" s="18"/>
      <c r="Q25" s="25"/>
      <c r="R25" s="25"/>
      <c r="S25" s="25"/>
      <c r="T25" s="28"/>
    </row>
    <row r="26" spans="1:20" ht="30" hidden="1" customHeight="1" x14ac:dyDescent="0.25">
      <c r="A26" s="9">
        <v>24</v>
      </c>
      <c r="B26" s="19" t="s">
        <v>137</v>
      </c>
      <c r="C26" s="19" t="s">
        <v>23</v>
      </c>
      <c r="D26" s="19" t="s">
        <v>138</v>
      </c>
      <c r="E26" s="19" t="s">
        <v>139</v>
      </c>
      <c r="F26" s="19" t="s">
        <v>24</v>
      </c>
      <c r="G26" s="19"/>
      <c r="H26" s="19" t="s">
        <v>140</v>
      </c>
      <c r="I26" s="9" t="s">
        <v>55</v>
      </c>
      <c r="J26" s="20">
        <v>46084</v>
      </c>
      <c r="K26" s="9">
        <f ca="1">Dashboard!$D$8-J26</f>
        <v>139</v>
      </c>
      <c r="L26" s="19" t="s">
        <v>22</v>
      </c>
      <c r="M26" s="15"/>
      <c r="N26" s="21" t="str">
        <f>IF(L26&lt;&gt;"Completed","",IF(M26="","",IF(Dashboard!$D$7="","",M26*Dashboard!$D$7)))</f>
        <v/>
      </c>
      <c r="O26" s="22"/>
      <c r="P26" s="23"/>
      <c r="Q26" s="24"/>
      <c r="R26" s="24"/>
      <c r="S26" s="24"/>
      <c r="T26" s="29"/>
    </row>
    <row r="27" spans="1:20" ht="30" hidden="1" customHeight="1" x14ac:dyDescent="0.25">
      <c r="A27" s="4">
        <v>25</v>
      </c>
      <c r="B27" s="13" t="s">
        <v>141</v>
      </c>
      <c r="C27" s="13" t="s">
        <v>23</v>
      </c>
      <c r="D27" s="13" t="s">
        <v>142</v>
      </c>
      <c r="E27" s="13" t="s">
        <v>143</v>
      </c>
      <c r="F27" s="13" t="s">
        <v>24</v>
      </c>
      <c r="G27" s="13"/>
      <c r="H27" s="13" t="s">
        <v>123</v>
      </c>
      <c r="I27" s="4" t="s">
        <v>55</v>
      </c>
      <c r="J27" s="14">
        <v>46084</v>
      </c>
      <c r="K27" s="4">
        <f ca="1">Dashboard!$D$8-J27</f>
        <v>139</v>
      </c>
      <c r="L27" s="13" t="s">
        <v>22</v>
      </c>
      <c r="M27" s="15"/>
      <c r="N27" s="16" t="str">
        <f>IF(L27&lt;&gt;"Completed","",IF(M27="","",IF(Dashboard!$D$7="","",M27*Dashboard!$D$7)))</f>
        <v/>
      </c>
      <c r="O27" s="17"/>
      <c r="P27" s="18"/>
      <c r="Q27" s="25"/>
      <c r="R27" s="25"/>
      <c r="S27" s="25"/>
      <c r="T27" s="28"/>
    </row>
    <row r="28" spans="1:20" ht="30" hidden="1" customHeight="1" x14ac:dyDescent="0.25">
      <c r="A28" s="9">
        <v>26</v>
      </c>
      <c r="B28" s="19" t="s">
        <v>144</v>
      </c>
      <c r="C28" s="19" t="s">
        <v>23</v>
      </c>
      <c r="D28" s="19" t="s">
        <v>145</v>
      </c>
      <c r="E28" s="19" t="s">
        <v>146</v>
      </c>
      <c r="F28" s="19" t="s">
        <v>24</v>
      </c>
      <c r="G28" s="19"/>
      <c r="H28" s="19" t="s">
        <v>123</v>
      </c>
      <c r="I28" s="9" t="s">
        <v>55</v>
      </c>
      <c r="J28" s="20">
        <v>46084</v>
      </c>
      <c r="K28" s="9">
        <f ca="1">Dashboard!$D$8-J28</f>
        <v>139</v>
      </c>
      <c r="L28" s="19" t="s">
        <v>22</v>
      </c>
      <c r="M28" s="15"/>
      <c r="N28" s="21" t="str">
        <f>IF(L28&lt;&gt;"Completed","",IF(M28="","",IF(Dashboard!$D$7="","",M28*Dashboard!$D$7)))</f>
        <v/>
      </c>
      <c r="O28" s="22"/>
      <c r="P28" s="23"/>
      <c r="Q28" s="24"/>
      <c r="R28" s="24"/>
      <c r="S28" s="24"/>
      <c r="T28" s="29"/>
    </row>
    <row r="29" spans="1:20" ht="30" hidden="1" customHeight="1" x14ac:dyDescent="0.25">
      <c r="A29" s="4">
        <v>27</v>
      </c>
      <c r="B29" s="13" t="s">
        <v>147</v>
      </c>
      <c r="C29" s="13" t="s">
        <v>25</v>
      </c>
      <c r="D29" s="13" t="s">
        <v>148</v>
      </c>
      <c r="E29" s="13" t="s">
        <v>129</v>
      </c>
      <c r="F29" s="13" t="s">
        <v>24</v>
      </c>
      <c r="G29" s="13"/>
      <c r="H29" s="13" t="s">
        <v>123</v>
      </c>
      <c r="I29" s="4" t="s">
        <v>60</v>
      </c>
      <c r="J29" s="14">
        <v>46084</v>
      </c>
      <c r="K29" s="4">
        <f ca="1">Dashboard!$D$8-J29</f>
        <v>139</v>
      </c>
      <c r="L29" s="13" t="s">
        <v>22</v>
      </c>
      <c r="M29" s="15"/>
      <c r="N29" s="16" t="str">
        <f>IF(L29&lt;&gt;"Completed","",IF(M29="","",IF(Dashboard!$D$7="","",M29*Dashboard!$D$7)))</f>
        <v/>
      </c>
      <c r="O29" s="17"/>
      <c r="P29" s="18"/>
      <c r="Q29" s="25"/>
      <c r="R29" s="25"/>
      <c r="S29" s="25"/>
      <c r="T29" s="28"/>
    </row>
    <row r="30" spans="1:20" ht="30" hidden="1" customHeight="1" x14ac:dyDescent="0.25">
      <c r="A30" s="9">
        <v>28</v>
      </c>
      <c r="B30" s="19" t="s">
        <v>149</v>
      </c>
      <c r="C30" s="19" t="s">
        <v>31</v>
      </c>
      <c r="D30" s="19" t="s">
        <v>150</v>
      </c>
      <c r="E30" s="19" t="s">
        <v>151</v>
      </c>
      <c r="F30" s="19" t="s">
        <v>24</v>
      </c>
      <c r="G30" s="19"/>
      <c r="H30" s="19" t="s">
        <v>123</v>
      </c>
      <c r="I30" s="9" t="s">
        <v>55</v>
      </c>
      <c r="J30" s="20">
        <v>46084</v>
      </c>
      <c r="K30" s="9">
        <f ca="1">Dashboard!$D$8-J30</f>
        <v>139</v>
      </c>
      <c r="L30" s="19" t="s">
        <v>22</v>
      </c>
      <c r="M30" s="15"/>
      <c r="N30" s="21" t="str">
        <f>IF(L30&lt;&gt;"Completed","",IF(M30="","",IF(Dashboard!$D$7="","",M30*Dashboard!$D$7)))</f>
        <v/>
      </c>
      <c r="O30" s="22"/>
      <c r="P30" s="23"/>
      <c r="Q30" s="24"/>
      <c r="R30" s="24"/>
      <c r="S30" s="24"/>
      <c r="T30" s="29"/>
    </row>
    <row r="31" spans="1:20" ht="30" hidden="1" customHeight="1" x14ac:dyDescent="0.25">
      <c r="A31" s="4">
        <v>29</v>
      </c>
      <c r="B31" s="13" t="s">
        <v>152</v>
      </c>
      <c r="C31" s="13" t="s">
        <v>31</v>
      </c>
      <c r="D31" s="13" t="s">
        <v>153</v>
      </c>
      <c r="E31" s="13" t="s">
        <v>154</v>
      </c>
      <c r="F31" s="13" t="s">
        <v>24</v>
      </c>
      <c r="G31" s="13"/>
      <c r="H31" s="13" t="s">
        <v>123</v>
      </c>
      <c r="I31" s="4" t="s">
        <v>55</v>
      </c>
      <c r="J31" s="14">
        <v>46084</v>
      </c>
      <c r="K31" s="4">
        <f ca="1">Dashboard!$D$8-J31</f>
        <v>139</v>
      </c>
      <c r="L31" s="13" t="s">
        <v>22</v>
      </c>
      <c r="M31" s="15"/>
      <c r="N31" s="16" t="str">
        <f>IF(L31&lt;&gt;"Completed","",IF(M31="","",IF(Dashboard!$D$7="","",M31*Dashboard!$D$7)))</f>
        <v/>
      </c>
      <c r="O31" s="17"/>
      <c r="P31" s="18"/>
      <c r="Q31" s="25"/>
      <c r="R31" s="25"/>
      <c r="S31" s="25"/>
      <c r="T31" s="28"/>
    </row>
    <row r="32" spans="1:20" ht="30" hidden="1" customHeight="1" x14ac:dyDescent="0.25">
      <c r="A32" s="9">
        <v>30</v>
      </c>
      <c r="B32" s="19" t="s">
        <v>155</v>
      </c>
      <c r="C32" s="19" t="s">
        <v>31</v>
      </c>
      <c r="D32" s="19" t="s">
        <v>156</v>
      </c>
      <c r="E32" s="19" t="s">
        <v>154</v>
      </c>
      <c r="F32" s="19" t="s">
        <v>24</v>
      </c>
      <c r="G32" s="19"/>
      <c r="H32" s="19" t="s">
        <v>123</v>
      </c>
      <c r="I32" s="9" t="s">
        <v>55</v>
      </c>
      <c r="J32" s="20">
        <v>46084</v>
      </c>
      <c r="K32" s="9">
        <f ca="1">Dashboard!$D$8-J32</f>
        <v>139</v>
      </c>
      <c r="L32" s="19" t="s">
        <v>22</v>
      </c>
      <c r="M32" s="15"/>
      <c r="N32" s="21" t="str">
        <f>IF(L32&lt;&gt;"Completed","",IF(M32="","",IF(Dashboard!$D$7="","",M32*Dashboard!$D$7)))</f>
        <v/>
      </c>
      <c r="O32" s="22"/>
      <c r="P32" s="23"/>
      <c r="Q32" s="24"/>
      <c r="R32" s="24"/>
      <c r="S32" s="24"/>
      <c r="T32" s="29"/>
    </row>
    <row r="33" spans="1:20" ht="30" hidden="1" customHeight="1" x14ac:dyDescent="0.25">
      <c r="A33" s="4">
        <v>31</v>
      </c>
      <c r="B33" s="13" t="s">
        <v>157</v>
      </c>
      <c r="C33" s="13" t="s">
        <v>27</v>
      </c>
      <c r="D33" s="13" t="s">
        <v>158</v>
      </c>
      <c r="E33" s="13" t="s">
        <v>159</v>
      </c>
      <c r="F33" s="13" t="s">
        <v>24</v>
      </c>
      <c r="G33" s="13"/>
      <c r="H33" s="13" t="s">
        <v>123</v>
      </c>
      <c r="I33" s="4" t="s">
        <v>55</v>
      </c>
      <c r="J33" s="14">
        <v>46084</v>
      </c>
      <c r="K33" s="4">
        <f ca="1">Dashboard!$D$8-J33</f>
        <v>139</v>
      </c>
      <c r="L33" s="13" t="s">
        <v>22</v>
      </c>
      <c r="M33" s="15"/>
      <c r="N33" s="16" t="str">
        <f>IF(L33&lt;&gt;"Completed","",IF(M33="","",IF(Dashboard!$D$7="","",M33*Dashboard!$D$7)))</f>
        <v/>
      </c>
      <c r="O33" s="17"/>
      <c r="P33" s="18"/>
      <c r="Q33" s="25"/>
      <c r="R33" s="25"/>
      <c r="S33" s="25"/>
      <c r="T33" s="28"/>
    </row>
    <row r="34" spans="1:20" ht="30" hidden="1" customHeight="1" x14ac:dyDescent="0.25">
      <c r="A34" s="9">
        <v>32</v>
      </c>
      <c r="B34" s="19" t="s">
        <v>160</v>
      </c>
      <c r="C34" s="19" t="s">
        <v>25</v>
      </c>
      <c r="D34" s="19" t="s">
        <v>161</v>
      </c>
      <c r="E34" s="19" t="s">
        <v>162</v>
      </c>
      <c r="F34" s="19" t="s">
        <v>24</v>
      </c>
      <c r="G34" s="19"/>
      <c r="H34" s="19" t="s">
        <v>123</v>
      </c>
      <c r="I34" s="9" t="s">
        <v>60</v>
      </c>
      <c r="J34" s="20">
        <v>46084</v>
      </c>
      <c r="K34" s="9">
        <f ca="1">Dashboard!$D$8-J34</f>
        <v>139</v>
      </c>
      <c r="L34" s="19" t="s">
        <v>22</v>
      </c>
      <c r="M34" s="15"/>
      <c r="N34" s="21" t="str">
        <f>IF(L34&lt;&gt;"Completed","",IF(M34="","",IF(Dashboard!$D$7="","",M34*Dashboard!$D$7)))</f>
        <v/>
      </c>
      <c r="O34" s="22"/>
      <c r="P34" s="23"/>
      <c r="Q34" s="24"/>
      <c r="R34" s="24"/>
      <c r="S34" s="24"/>
      <c r="T34" s="29"/>
    </row>
    <row r="35" spans="1:20" ht="30" hidden="1" customHeight="1" x14ac:dyDescent="0.25">
      <c r="A35" s="4">
        <v>33</v>
      </c>
      <c r="B35" s="13" t="s">
        <v>163</v>
      </c>
      <c r="C35" s="13" t="s">
        <v>25</v>
      </c>
      <c r="D35" s="13" t="s">
        <v>164</v>
      </c>
      <c r="E35" s="13" t="s">
        <v>165</v>
      </c>
      <c r="F35" s="13" t="s">
        <v>24</v>
      </c>
      <c r="G35" s="13"/>
      <c r="H35" s="13" t="s">
        <v>166</v>
      </c>
      <c r="I35" s="4" t="s">
        <v>60</v>
      </c>
      <c r="J35" s="14">
        <v>46084</v>
      </c>
      <c r="K35" s="4">
        <f ca="1">Dashboard!$D$8-J35</f>
        <v>139</v>
      </c>
      <c r="L35" s="13" t="s">
        <v>22</v>
      </c>
      <c r="M35" s="15"/>
      <c r="N35" s="16" t="str">
        <f>IF(L35&lt;&gt;"Completed","",IF(M35="","",IF(Dashboard!$D$7="","",M35*Dashboard!$D$7)))</f>
        <v/>
      </c>
      <c r="O35" s="17"/>
      <c r="P35" s="18"/>
      <c r="Q35" s="25"/>
      <c r="R35" s="25"/>
      <c r="S35" s="25"/>
      <c r="T35" s="28"/>
    </row>
    <row r="36" spans="1:20" ht="30" hidden="1" customHeight="1" x14ac:dyDescent="0.25">
      <c r="A36" s="9">
        <v>34</v>
      </c>
      <c r="B36" s="19" t="s">
        <v>167</v>
      </c>
      <c r="C36" s="19" t="s">
        <v>33</v>
      </c>
      <c r="D36" s="19" t="s">
        <v>168</v>
      </c>
      <c r="E36" s="19" t="s">
        <v>169</v>
      </c>
      <c r="F36" s="19" t="s">
        <v>24</v>
      </c>
      <c r="G36" s="19"/>
      <c r="H36" s="19" t="s">
        <v>170</v>
      </c>
      <c r="I36" s="9" t="s">
        <v>55</v>
      </c>
      <c r="J36" s="20">
        <v>46084</v>
      </c>
      <c r="K36" s="9">
        <f ca="1">Dashboard!$D$8-J36</f>
        <v>139</v>
      </c>
      <c r="L36" s="19" t="s">
        <v>22</v>
      </c>
      <c r="M36" s="15"/>
      <c r="N36" s="21" t="str">
        <f>IF(L36&lt;&gt;"Completed","",IF(M36="","",IF(Dashboard!$D$7="","",M36*Dashboard!$D$7)))</f>
        <v/>
      </c>
      <c r="O36" s="22"/>
      <c r="P36" s="23"/>
      <c r="Q36" s="24"/>
      <c r="R36" s="24"/>
      <c r="S36" s="24"/>
      <c r="T36" s="29"/>
    </row>
    <row r="37" spans="1:20" ht="30" hidden="1" customHeight="1" x14ac:dyDescent="0.25">
      <c r="A37" s="4">
        <v>35</v>
      </c>
      <c r="B37" s="13" t="s">
        <v>171</v>
      </c>
      <c r="C37" s="13" t="s">
        <v>33</v>
      </c>
      <c r="D37" s="13" t="s">
        <v>172</v>
      </c>
      <c r="E37" s="13" t="s">
        <v>173</v>
      </c>
      <c r="F37" s="13" t="s">
        <v>24</v>
      </c>
      <c r="G37" s="13"/>
      <c r="H37" s="13" t="s">
        <v>174</v>
      </c>
      <c r="I37" s="4" t="s">
        <v>55</v>
      </c>
      <c r="J37" s="14">
        <v>46084</v>
      </c>
      <c r="K37" s="4">
        <f ca="1">Dashboard!$D$8-J37</f>
        <v>139</v>
      </c>
      <c r="L37" s="13" t="s">
        <v>22</v>
      </c>
      <c r="M37" s="15"/>
      <c r="N37" s="16" t="str">
        <f>IF(L37&lt;&gt;"Completed","",IF(M37="","",IF(Dashboard!$D$7="","",M37*Dashboard!$D$7)))</f>
        <v/>
      </c>
      <c r="O37" s="17"/>
      <c r="P37" s="18"/>
      <c r="Q37" s="25"/>
      <c r="R37" s="25"/>
      <c r="S37" s="25"/>
      <c r="T37" s="28"/>
    </row>
    <row r="38" spans="1:20" ht="30" hidden="1" customHeight="1" x14ac:dyDescent="0.25">
      <c r="A38" s="9">
        <v>36</v>
      </c>
      <c r="B38" s="19" t="s">
        <v>175</v>
      </c>
      <c r="C38" s="19" t="s">
        <v>33</v>
      </c>
      <c r="D38" s="19" t="s">
        <v>176</v>
      </c>
      <c r="E38" s="19" t="s">
        <v>177</v>
      </c>
      <c r="F38" s="19" t="s">
        <v>24</v>
      </c>
      <c r="G38" s="19"/>
      <c r="H38" s="19" t="s">
        <v>178</v>
      </c>
      <c r="I38" s="9" t="s">
        <v>55</v>
      </c>
      <c r="J38" s="20">
        <v>46084</v>
      </c>
      <c r="K38" s="9">
        <f ca="1">Dashboard!$D$8-J38</f>
        <v>139</v>
      </c>
      <c r="L38" s="19" t="s">
        <v>22</v>
      </c>
      <c r="M38" s="15"/>
      <c r="N38" s="21" t="str">
        <f>IF(L38&lt;&gt;"Completed","",IF(M38="","",IF(Dashboard!$D$7="","",M38*Dashboard!$D$7)))</f>
        <v/>
      </c>
      <c r="O38" s="22"/>
      <c r="P38" s="23"/>
      <c r="Q38" s="24"/>
      <c r="R38" s="24"/>
      <c r="S38" s="24"/>
      <c r="T38" s="29"/>
    </row>
    <row r="39" spans="1:20" ht="30" hidden="1" customHeight="1" x14ac:dyDescent="0.25">
      <c r="A39" s="4">
        <v>37</v>
      </c>
      <c r="B39" s="13" t="s">
        <v>179</v>
      </c>
      <c r="C39" s="13" t="s">
        <v>33</v>
      </c>
      <c r="D39" s="13" t="s">
        <v>180</v>
      </c>
      <c r="E39" s="13" t="s">
        <v>181</v>
      </c>
      <c r="F39" s="13" t="s">
        <v>24</v>
      </c>
      <c r="G39" s="13"/>
      <c r="H39" s="13" t="s">
        <v>182</v>
      </c>
      <c r="I39" s="4" t="s">
        <v>55</v>
      </c>
      <c r="J39" s="14">
        <v>46084</v>
      </c>
      <c r="K39" s="4">
        <f ca="1">Dashboard!$D$8-J39</f>
        <v>139</v>
      </c>
      <c r="L39" s="13" t="s">
        <v>22</v>
      </c>
      <c r="M39" s="15"/>
      <c r="N39" s="16" t="str">
        <f>IF(L39&lt;&gt;"Completed","",IF(M39="","",IF(Dashboard!$D$7="","",M39*Dashboard!$D$7)))</f>
        <v/>
      </c>
      <c r="O39" s="17"/>
      <c r="P39" s="18"/>
      <c r="Q39" s="25"/>
      <c r="R39" s="25"/>
      <c r="S39" s="25"/>
      <c r="T39" s="28"/>
    </row>
    <row r="40" spans="1:20" ht="30" hidden="1" customHeight="1" x14ac:dyDescent="0.25">
      <c r="A40" s="9">
        <v>38</v>
      </c>
      <c r="B40" s="19" t="s">
        <v>183</v>
      </c>
      <c r="C40" s="19" t="s">
        <v>33</v>
      </c>
      <c r="D40" s="19" t="s">
        <v>184</v>
      </c>
      <c r="E40" s="19" t="s">
        <v>185</v>
      </c>
      <c r="F40" s="19" t="s">
        <v>24</v>
      </c>
      <c r="G40" s="19"/>
      <c r="H40" s="19" t="s">
        <v>186</v>
      </c>
      <c r="I40" s="9" t="s">
        <v>55</v>
      </c>
      <c r="J40" s="20">
        <v>46084</v>
      </c>
      <c r="K40" s="9">
        <f ca="1">Dashboard!$D$8-J40</f>
        <v>139</v>
      </c>
      <c r="L40" s="19" t="s">
        <v>22</v>
      </c>
      <c r="M40" s="15"/>
      <c r="N40" s="21" t="str">
        <f>IF(L40&lt;&gt;"Completed","",IF(M40="","",IF(Dashboard!$D$7="","",M40*Dashboard!$D$7)))</f>
        <v/>
      </c>
      <c r="O40" s="22"/>
      <c r="P40" s="23"/>
      <c r="Q40" s="24"/>
      <c r="R40" s="24"/>
      <c r="S40" s="24"/>
      <c r="T40" s="29"/>
    </row>
    <row r="41" spans="1:20" ht="30" hidden="1" customHeight="1" x14ac:dyDescent="0.25">
      <c r="A41" s="4">
        <v>39</v>
      </c>
      <c r="B41" s="13" t="s">
        <v>187</v>
      </c>
      <c r="C41" s="13" t="s">
        <v>33</v>
      </c>
      <c r="D41" s="13" t="s">
        <v>188</v>
      </c>
      <c r="E41" s="13" t="s">
        <v>189</v>
      </c>
      <c r="F41" s="13" t="s">
        <v>24</v>
      </c>
      <c r="G41" s="13"/>
      <c r="H41" s="13" t="s">
        <v>123</v>
      </c>
      <c r="I41" s="4" t="s">
        <v>55</v>
      </c>
      <c r="J41" s="14">
        <v>46084</v>
      </c>
      <c r="K41" s="4">
        <f ca="1">Dashboard!$D$8-J41</f>
        <v>139</v>
      </c>
      <c r="L41" s="13" t="s">
        <v>22</v>
      </c>
      <c r="M41" s="15"/>
      <c r="N41" s="16" t="str">
        <f>IF(L41&lt;&gt;"Completed","",IF(M41="","",IF(Dashboard!$D$7="","",M41*Dashboard!$D$7)))</f>
        <v/>
      </c>
      <c r="O41" s="17"/>
      <c r="P41" s="18"/>
      <c r="Q41" s="25"/>
      <c r="R41" s="25"/>
      <c r="S41" s="25"/>
      <c r="T41" s="28"/>
    </row>
    <row r="42" spans="1:20" ht="30" hidden="1" customHeight="1" x14ac:dyDescent="0.25">
      <c r="A42" s="9">
        <v>40</v>
      </c>
      <c r="B42" s="19" t="s">
        <v>190</v>
      </c>
      <c r="C42" s="19" t="s">
        <v>27</v>
      </c>
      <c r="D42" s="19" t="s">
        <v>191</v>
      </c>
      <c r="E42" s="19" t="s">
        <v>192</v>
      </c>
      <c r="F42" s="19" t="s">
        <v>24</v>
      </c>
      <c r="G42" s="19"/>
      <c r="H42" s="19" t="s">
        <v>123</v>
      </c>
      <c r="I42" s="9" t="s">
        <v>55</v>
      </c>
      <c r="J42" s="20">
        <v>46084</v>
      </c>
      <c r="K42" s="9">
        <f ca="1">Dashboard!$D$8-J42</f>
        <v>139</v>
      </c>
      <c r="L42" s="19" t="s">
        <v>22</v>
      </c>
      <c r="M42" s="15"/>
      <c r="N42" s="21" t="str">
        <f>IF(L42&lt;&gt;"Completed","",IF(M42="","",IF(Dashboard!$D$7="","",M42*Dashboard!$D$7)))</f>
        <v/>
      </c>
      <c r="O42" s="22"/>
      <c r="P42" s="23"/>
      <c r="Q42" s="24"/>
      <c r="R42" s="24"/>
      <c r="S42" s="24"/>
      <c r="T42" s="29"/>
    </row>
    <row r="43" spans="1:20" ht="30" hidden="1" customHeight="1" x14ac:dyDescent="0.25">
      <c r="A43" s="4">
        <v>41</v>
      </c>
      <c r="B43" s="13" t="s">
        <v>193</v>
      </c>
      <c r="C43" s="13" t="s">
        <v>33</v>
      </c>
      <c r="D43" s="13" t="s">
        <v>194</v>
      </c>
      <c r="E43" s="13" t="s">
        <v>195</v>
      </c>
      <c r="F43" s="13" t="s">
        <v>24</v>
      </c>
      <c r="G43" s="13"/>
      <c r="H43" s="13" t="s">
        <v>123</v>
      </c>
      <c r="I43" s="4" t="s">
        <v>55</v>
      </c>
      <c r="J43" s="14">
        <v>46084</v>
      </c>
      <c r="K43" s="4">
        <f ca="1">Dashboard!$D$8-J43</f>
        <v>139</v>
      </c>
      <c r="L43" s="13" t="s">
        <v>22</v>
      </c>
      <c r="M43" s="15"/>
      <c r="N43" s="16" t="str">
        <f>IF(L43&lt;&gt;"Completed","",IF(M43="","",IF(Dashboard!$D$7="","",M43*Dashboard!$D$7)))</f>
        <v/>
      </c>
      <c r="O43" s="17"/>
      <c r="P43" s="18"/>
      <c r="Q43" s="25"/>
      <c r="R43" s="25"/>
      <c r="S43" s="25"/>
      <c r="T43" s="28"/>
    </row>
    <row r="44" spans="1:20" ht="30" hidden="1" customHeight="1" x14ac:dyDescent="0.25">
      <c r="A44" s="9">
        <v>42</v>
      </c>
      <c r="B44" s="19" t="s">
        <v>196</v>
      </c>
      <c r="C44" s="19" t="s">
        <v>25</v>
      </c>
      <c r="D44" s="19" t="s">
        <v>197</v>
      </c>
      <c r="E44" s="19" t="s">
        <v>198</v>
      </c>
      <c r="F44" s="19" t="s">
        <v>24</v>
      </c>
      <c r="G44" s="19"/>
      <c r="H44" s="19" t="s">
        <v>199</v>
      </c>
      <c r="I44" s="9" t="s">
        <v>60</v>
      </c>
      <c r="J44" s="20">
        <v>46084</v>
      </c>
      <c r="K44" s="9">
        <f ca="1">Dashboard!$D$8-J44</f>
        <v>139</v>
      </c>
      <c r="L44" s="19" t="s">
        <v>22</v>
      </c>
      <c r="M44" s="15"/>
      <c r="N44" s="21" t="str">
        <f>IF(L44&lt;&gt;"Completed","",IF(M44="","",IF(Dashboard!$D$7="","",M44*Dashboard!$D$7)))</f>
        <v/>
      </c>
      <c r="O44" s="22"/>
      <c r="P44" s="23"/>
      <c r="Q44" s="24"/>
      <c r="R44" s="24"/>
      <c r="S44" s="24"/>
      <c r="T44" s="29"/>
    </row>
    <row r="45" spans="1:20" ht="30" hidden="1" customHeight="1" x14ac:dyDescent="0.25">
      <c r="A45" s="4">
        <v>43</v>
      </c>
      <c r="B45" s="13" t="s">
        <v>200</v>
      </c>
      <c r="C45" s="13" t="s">
        <v>25</v>
      </c>
      <c r="D45" s="13" t="s">
        <v>201</v>
      </c>
      <c r="E45" s="13" t="s">
        <v>129</v>
      </c>
      <c r="F45" s="13" t="s">
        <v>24</v>
      </c>
      <c r="G45" s="13"/>
      <c r="H45" s="13" t="s">
        <v>202</v>
      </c>
      <c r="I45" s="4" t="s">
        <v>60</v>
      </c>
      <c r="J45" s="14">
        <v>46084</v>
      </c>
      <c r="K45" s="4">
        <f ca="1">Dashboard!$D$8-J45</f>
        <v>139</v>
      </c>
      <c r="L45" s="13" t="s">
        <v>22</v>
      </c>
      <c r="M45" s="15"/>
      <c r="N45" s="16" t="str">
        <f>IF(L45&lt;&gt;"Completed","",IF(M45="","",IF(Dashboard!$D$7="","",M45*Dashboard!$D$7)))</f>
        <v/>
      </c>
      <c r="O45" s="17"/>
      <c r="P45" s="18"/>
      <c r="Q45" s="25"/>
      <c r="R45" s="25"/>
      <c r="S45" s="25"/>
      <c r="T45" s="28"/>
    </row>
    <row r="46" spans="1:20" ht="30" hidden="1" customHeight="1" x14ac:dyDescent="0.25">
      <c r="A46" s="9">
        <v>44</v>
      </c>
      <c r="B46" s="19" t="s">
        <v>203</v>
      </c>
      <c r="C46" s="19" t="s">
        <v>25</v>
      </c>
      <c r="D46" s="19" t="s">
        <v>204</v>
      </c>
      <c r="E46" s="19" t="s">
        <v>205</v>
      </c>
      <c r="F46" s="19" t="s">
        <v>24</v>
      </c>
      <c r="G46" s="19"/>
      <c r="H46" s="19" t="s">
        <v>206</v>
      </c>
      <c r="I46" s="9" t="s">
        <v>60</v>
      </c>
      <c r="J46" s="20">
        <v>46084</v>
      </c>
      <c r="K46" s="9">
        <f ca="1">Dashboard!$D$8-J46</f>
        <v>139</v>
      </c>
      <c r="L46" s="19" t="s">
        <v>22</v>
      </c>
      <c r="M46" s="15"/>
      <c r="N46" s="21" t="str">
        <f>IF(L46&lt;&gt;"Completed","",IF(M46="","",IF(Dashboard!$D$7="","",M46*Dashboard!$D$7)))</f>
        <v/>
      </c>
      <c r="O46" s="22"/>
      <c r="P46" s="23"/>
      <c r="Q46" s="24"/>
      <c r="R46" s="24"/>
      <c r="S46" s="24"/>
      <c r="T46" s="29"/>
    </row>
    <row r="47" spans="1:20" ht="30" hidden="1" customHeight="1" x14ac:dyDescent="0.25">
      <c r="A47" s="4">
        <v>45</v>
      </c>
      <c r="B47" s="13" t="s">
        <v>207</v>
      </c>
      <c r="C47" s="13" t="s">
        <v>25</v>
      </c>
      <c r="D47" s="13" t="s">
        <v>208</v>
      </c>
      <c r="E47" s="13" t="s">
        <v>209</v>
      </c>
      <c r="F47" s="13" t="s">
        <v>24</v>
      </c>
      <c r="G47" s="13"/>
      <c r="H47" s="13" t="s">
        <v>123</v>
      </c>
      <c r="I47" s="4" t="s">
        <v>60</v>
      </c>
      <c r="J47" s="14">
        <v>46084</v>
      </c>
      <c r="K47" s="4">
        <f ca="1">Dashboard!$D$8-J47</f>
        <v>139</v>
      </c>
      <c r="L47" s="13" t="s">
        <v>22</v>
      </c>
      <c r="M47" s="15"/>
      <c r="N47" s="16" t="str">
        <f>IF(L47&lt;&gt;"Completed","",IF(M47="","",IF(Dashboard!$D$7="","",M47*Dashboard!$D$7)))</f>
        <v/>
      </c>
      <c r="O47" s="17"/>
      <c r="P47" s="18"/>
      <c r="Q47" s="25"/>
      <c r="R47" s="25"/>
      <c r="S47" s="25"/>
      <c r="T47" s="28"/>
    </row>
    <row r="48" spans="1:20" ht="30" hidden="1" customHeight="1" x14ac:dyDescent="0.25">
      <c r="A48" s="9">
        <v>46</v>
      </c>
      <c r="B48" s="19" t="s">
        <v>210</v>
      </c>
      <c r="C48" s="19" t="s">
        <v>33</v>
      </c>
      <c r="D48" s="19" t="s">
        <v>211</v>
      </c>
      <c r="E48" s="19" t="s">
        <v>212</v>
      </c>
      <c r="F48" s="19" t="s">
        <v>24</v>
      </c>
      <c r="G48" s="19"/>
      <c r="H48" s="19" t="s">
        <v>123</v>
      </c>
      <c r="I48" s="9" t="s">
        <v>55</v>
      </c>
      <c r="J48" s="20">
        <v>46084</v>
      </c>
      <c r="K48" s="9">
        <f ca="1">Dashboard!$D$8-J48</f>
        <v>139</v>
      </c>
      <c r="L48" s="19" t="s">
        <v>22</v>
      </c>
      <c r="M48" s="15"/>
      <c r="N48" s="21" t="str">
        <f>IF(L48&lt;&gt;"Completed","",IF(M48="","",IF(Dashboard!$D$7="","",M48*Dashboard!$D$7)))</f>
        <v/>
      </c>
      <c r="O48" s="22"/>
      <c r="P48" s="23"/>
      <c r="Q48" s="24"/>
      <c r="R48" s="24"/>
      <c r="S48" s="24"/>
      <c r="T48" s="29"/>
    </row>
    <row r="49" spans="1:20" ht="30" hidden="1" customHeight="1" x14ac:dyDescent="0.25">
      <c r="A49" s="4">
        <v>47</v>
      </c>
      <c r="B49" s="13" t="s">
        <v>213</v>
      </c>
      <c r="C49" s="13" t="s">
        <v>25</v>
      </c>
      <c r="D49" s="13" t="s">
        <v>214</v>
      </c>
      <c r="E49" s="13" t="s">
        <v>215</v>
      </c>
      <c r="F49" s="13" t="s">
        <v>26</v>
      </c>
      <c r="G49" s="13"/>
      <c r="H49" s="13" t="s">
        <v>216</v>
      </c>
      <c r="I49" s="4" t="s">
        <v>60</v>
      </c>
      <c r="J49" s="14">
        <v>46086</v>
      </c>
      <c r="K49" s="4">
        <f ca="1">Dashboard!$D$8-J49</f>
        <v>137</v>
      </c>
      <c r="L49" s="13" t="s">
        <v>22</v>
      </c>
      <c r="M49" s="15"/>
      <c r="N49" s="16" t="str">
        <f>IF(L49&lt;&gt;"Completed","",IF(M49="","",IF(Dashboard!$D$7="","",M49*Dashboard!$D$7)))</f>
        <v/>
      </c>
      <c r="O49" s="17"/>
      <c r="P49" s="18"/>
      <c r="Q49" s="25"/>
      <c r="R49" s="25"/>
      <c r="S49" s="25"/>
      <c r="T49" s="28"/>
    </row>
    <row r="50" spans="1:20" ht="30" hidden="1" customHeight="1" x14ac:dyDescent="0.25">
      <c r="A50" s="9">
        <v>48</v>
      </c>
      <c r="B50" s="19" t="s">
        <v>217</v>
      </c>
      <c r="C50" s="19" t="s">
        <v>31</v>
      </c>
      <c r="D50" s="19" t="s">
        <v>218</v>
      </c>
      <c r="E50" s="19" t="s">
        <v>219</v>
      </c>
      <c r="F50" s="19" t="s">
        <v>26</v>
      </c>
      <c r="G50" s="19"/>
      <c r="H50" s="19" t="s">
        <v>220</v>
      </c>
      <c r="I50" s="9" t="s">
        <v>55</v>
      </c>
      <c r="J50" s="20">
        <v>46090</v>
      </c>
      <c r="K50" s="9">
        <f ca="1">Dashboard!$D$8-J50</f>
        <v>133</v>
      </c>
      <c r="L50" s="19" t="s">
        <v>22</v>
      </c>
      <c r="M50" s="15"/>
      <c r="N50" s="21" t="str">
        <f>IF(L50&lt;&gt;"Completed","",IF(M50="","",IF(Dashboard!$D$7="","",M50*Dashboard!$D$7)))</f>
        <v/>
      </c>
      <c r="O50" s="22"/>
      <c r="P50" s="23"/>
      <c r="Q50" s="24"/>
      <c r="R50" s="24"/>
      <c r="S50" s="24"/>
      <c r="T50" s="29"/>
    </row>
    <row r="51" spans="1:20" s="66" customFormat="1" ht="30" customHeight="1" x14ac:dyDescent="0.25">
      <c r="A51" s="57">
        <v>49</v>
      </c>
      <c r="B51" s="58" t="s">
        <v>221</v>
      </c>
      <c r="C51" s="58" t="s">
        <v>29</v>
      </c>
      <c r="D51" s="58" t="s">
        <v>222</v>
      </c>
      <c r="E51" s="58" t="s">
        <v>223</v>
      </c>
      <c r="F51" s="58" t="s">
        <v>26</v>
      </c>
      <c r="G51" s="57" t="s">
        <v>250</v>
      </c>
      <c r="H51" s="58" t="s">
        <v>224</v>
      </c>
      <c r="I51" s="57" t="s">
        <v>55</v>
      </c>
      <c r="J51" s="59">
        <v>46094</v>
      </c>
      <c r="K51" s="57">
        <f ca="1">Dashboard!$D$8-J51</f>
        <v>129</v>
      </c>
      <c r="L51" s="58" t="s">
        <v>22</v>
      </c>
      <c r="M51" s="60"/>
      <c r="N51" s="61" t="str">
        <f>IF(L51&lt;&gt;"Completed","",IF(M51="","",IF(Dashboard!$D$7="","",M51*Dashboard!$D$7)))</f>
        <v/>
      </c>
      <c r="O51" s="62"/>
      <c r="P51" s="63"/>
      <c r="Q51" s="64"/>
      <c r="R51" s="64"/>
      <c r="S51" s="64"/>
      <c r="T51" s="65"/>
    </row>
    <row r="52" spans="1:20" ht="30" hidden="1" customHeight="1" x14ac:dyDescent="0.25">
      <c r="A52" s="9">
        <v>50</v>
      </c>
      <c r="B52" s="19" t="s">
        <v>225</v>
      </c>
      <c r="C52" s="19" t="s">
        <v>25</v>
      </c>
      <c r="D52" s="19" t="s">
        <v>226</v>
      </c>
      <c r="E52" s="19" t="s">
        <v>227</v>
      </c>
      <c r="F52" s="19" t="s">
        <v>26</v>
      </c>
      <c r="G52" s="19"/>
      <c r="H52" s="19" t="s">
        <v>123</v>
      </c>
      <c r="I52" s="9" t="s">
        <v>60</v>
      </c>
      <c r="J52" s="20">
        <v>46107</v>
      </c>
      <c r="K52" s="9">
        <f ca="1">Dashboard!$D$8-J52</f>
        <v>116</v>
      </c>
      <c r="L52" s="19" t="s">
        <v>22</v>
      </c>
      <c r="M52" s="15"/>
      <c r="N52" s="21" t="str">
        <f>IF(L52&lt;&gt;"Completed","",IF(M52="","",IF(Dashboard!$D$7="","",M52*Dashboard!$D$7)))</f>
        <v/>
      </c>
      <c r="O52" s="22"/>
      <c r="P52" s="23"/>
      <c r="Q52" s="24"/>
      <c r="R52" s="24"/>
      <c r="S52" s="24"/>
      <c r="T52" s="29"/>
    </row>
    <row r="53" spans="1:20" ht="30" customHeight="1" x14ac:dyDescent="0.25">
      <c r="A53" s="4">
        <v>51</v>
      </c>
      <c r="B53" s="13" t="s">
        <v>228</v>
      </c>
      <c r="C53" s="13" t="s">
        <v>29</v>
      </c>
      <c r="D53" s="13" t="s">
        <v>229</v>
      </c>
      <c r="E53" s="13" t="s">
        <v>230</v>
      </c>
      <c r="F53" s="13" t="s">
        <v>32</v>
      </c>
      <c r="G53" s="4" t="s">
        <v>249</v>
      </c>
      <c r="H53" s="13" t="s">
        <v>119</v>
      </c>
      <c r="I53" s="4" t="s">
        <v>55</v>
      </c>
      <c r="J53" s="14">
        <v>46181.670138888891</v>
      </c>
      <c r="K53" s="4">
        <f ca="1">Dashboard!$D$8-J53</f>
        <v>41.329861111109494</v>
      </c>
      <c r="L53" s="13" t="s">
        <v>22</v>
      </c>
      <c r="M53" s="15"/>
      <c r="N53" s="16" t="str">
        <f>IF(L53&lt;&gt;"Completed","",IF(M53="","",IF(Dashboard!$D$7="","",M53*Dashboard!$D$7)))</f>
        <v/>
      </c>
      <c r="O53" s="17"/>
      <c r="P53" s="18"/>
      <c r="Q53" s="25"/>
      <c r="R53" s="25"/>
      <c r="S53" s="25"/>
      <c r="T53" s="28"/>
    </row>
    <row r="54" spans="1:20" ht="30" customHeight="1" x14ac:dyDescent="0.25">
      <c r="A54" s="9">
        <v>52</v>
      </c>
      <c r="B54" s="19" t="s">
        <v>231</v>
      </c>
      <c r="C54" s="19" t="s">
        <v>29</v>
      </c>
      <c r="D54" s="19" t="s">
        <v>232</v>
      </c>
      <c r="E54" s="19" t="s">
        <v>233</v>
      </c>
      <c r="F54" s="19" t="s">
        <v>30</v>
      </c>
      <c r="G54" s="9" t="s">
        <v>249</v>
      </c>
      <c r="H54" s="13" t="s">
        <v>119</v>
      </c>
      <c r="I54" s="9" t="s">
        <v>55</v>
      </c>
      <c r="J54" s="20">
        <v>46189.637499999997</v>
      </c>
      <c r="K54" s="9">
        <f ca="1">Dashboard!$D$8-J54</f>
        <v>33.36250000000291</v>
      </c>
      <c r="L54" s="19" t="s">
        <v>22</v>
      </c>
      <c r="M54" s="15"/>
      <c r="N54" s="21" t="str">
        <f>IF(L54&lt;&gt;"Completed","",IF(M54="","",IF(Dashboard!$D$7="","",M54*Dashboard!$D$7)))</f>
        <v/>
      </c>
      <c r="O54" s="22"/>
      <c r="P54" s="23"/>
      <c r="Q54" s="24"/>
      <c r="R54" s="24"/>
      <c r="S54" s="24"/>
      <c r="T54" s="29"/>
    </row>
    <row r="55" spans="1:20" s="66" customFormat="1" ht="30" customHeight="1" x14ac:dyDescent="0.25">
      <c r="A55" s="57">
        <v>53</v>
      </c>
      <c r="B55" s="58" t="s">
        <v>234</v>
      </c>
      <c r="C55" s="58" t="s">
        <v>29</v>
      </c>
      <c r="D55" s="58" t="s">
        <v>235</v>
      </c>
      <c r="E55" s="58" t="s">
        <v>233</v>
      </c>
      <c r="F55" s="58" t="s">
        <v>30</v>
      </c>
      <c r="G55" s="57" t="s">
        <v>249</v>
      </c>
      <c r="H55" s="58" t="s">
        <v>119</v>
      </c>
      <c r="I55" s="57" t="s">
        <v>55</v>
      </c>
      <c r="J55" s="59">
        <v>46189.642361111109</v>
      </c>
      <c r="K55" s="57">
        <f ca="1">Dashboard!$D$8-J55</f>
        <v>33.357638888890506</v>
      </c>
      <c r="L55" s="58" t="s">
        <v>22</v>
      </c>
      <c r="M55" s="60"/>
      <c r="N55" s="61" t="str">
        <f>IF(L55&lt;&gt;"Completed","",IF(M55="","",IF(Dashboard!$D$7="","",M55*Dashboard!$D$7)))</f>
        <v/>
      </c>
      <c r="O55" s="62"/>
      <c r="P55" s="63"/>
      <c r="Q55" s="64"/>
      <c r="R55" s="64"/>
      <c r="S55" s="64"/>
      <c r="T55" s="65"/>
    </row>
    <row r="57" spans="1:20" x14ac:dyDescent="0.25">
      <c r="A57" s="30" t="s">
        <v>236</v>
      </c>
      <c r="B57" s="31"/>
      <c r="C57" s="31"/>
    </row>
    <row r="58" spans="1:20" x14ac:dyDescent="0.25">
      <c r="A58" s="1" t="s">
        <v>237</v>
      </c>
    </row>
    <row r="59" spans="1:20" x14ac:dyDescent="0.25">
      <c r="A59" s="1" t="s">
        <v>238</v>
      </c>
    </row>
    <row r="60" spans="1:20" x14ac:dyDescent="0.25">
      <c r="A60" s="1" t="s">
        <v>239</v>
      </c>
      <c r="D60" t="s">
        <v>251</v>
      </c>
    </row>
    <row r="61" spans="1:20" x14ac:dyDescent="0.25">
      <c r="A61" s="1" t="s">
        <v>240</v>
      </c>
    </row>
    <row r="62" spans="1:20" x14ac:dyDescent="0.25">
      <c r="A62" s="1" t="s">
        <v>241</v>
      </c>
    </row>
    <row r="63" spans="1:20" x14ac:dyDescent="0.25">
      <c r="A63" s="1" t="s">
        <v>242</v>
      </c>
    </row>
  </sheetData>
  <autoFilter ref="A2:S55" xr:uid="{00000000-0009-0000-0000-000001000000}">
    <filterColumn colId="2">
      <filters>
        <filter val="Thirumarugal"/>
      </filters>
    </filterColumn>
    <filterColumn colId="5">
      <filters>
        <filter val="KS SMART"/>
        <filter val="Ticketing Tool"/>
        <filter val="TICKETING TOOL TICKET"/>
      </filters>
    </filterColumn>
  </autoFilter>
  <mergeCells count="2">
    <mergeCell ref="A57:C57"/>
    <mergeCell ref="A1:S1"/>
  </mergeCells>
  <conditionalFormatting sqref="A3:T55">
    <cfRule type="expression" dxfId="6" priority="6">
      <formula>$L3="Completed"</formula>
    </cfRule>
    <cfRule type="expression" dxfId="5" priority="7">
      <formula>$L3="Incomplete"</formula>
    </cfRule>
  </conditionalFormatting>
  <conditionalFormatting sqref="K3:K55">
    <cfRule type="cellIs" dxfId="4" priority="4" operator="greaterThan">
      <formula>180</formula>
    </cfRule>
    <cfRule type="expression" dxfId="3" priority="5">
      <formula>AND(K3&gt;=90,K3&lt;=180)</formula>
    </cfRule>
  </conditionalFormatting>
  <conditionalFormatting sqref="L3:L55">
    <cfRule type="cellIs" dxfId="2" priority="1" operator="equal">
      <formula>"Completed"</formula>
    </cfRule>
    <cfRule type="cellIs" dxfId="1" priority="2" operator="equal">
      <formula>"Incomplete"</formula>
    </cfRule>
    <cfRule type="cellIs" dxfId="0" priority="3" operator="equal">
      <formula>"Not Started"</formula>
    </cfRule>
  </conditionalFormatting>
  <dataValidations count="1">
    <dataValidation type="list" sqref="L3:L55" xr:uid="{00000000-0002-0000-0100-000000000000}">
      <formula1>"Not Started,Completed,Incomplete"</formula1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Dashboard</vt:lpstr>
      <vt:lpstr>Call Tracker</vt:lpstr>
      <vt:lpstr>'Call Tracker'!Print_Titles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DSE PY35252</cp:lastModifiedBy>
  <dcterms:created xsi:type="dcterms:W3CDTF">2026-07-20T03:27:29Z</dcterms:created>
  <dcterms:modified xsi:type="dcterms:W3CDTF">2026-07-20T09:15:53Z</dcterms:modified>
</cp:coreProperties>
</file>